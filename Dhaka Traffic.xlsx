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er\study\Papers\"/>
    </mc:Choice>
  </mc:AlternateContent>
  <xr:revisionPtr revIDLastSave="0" documentId="8_{64465558-103A-4978-B913-4F90F49CF3DF}" xr6:coauthVersionLast="47" xr6:coauthVersionMax="47" xr10:uidLastSave="{00000000-0000-0000-0000-000000000000}"/>
  <bookViews>
    <workbookView xWindow="-108" yWindow="-108" windowWidth="23256" windowHeight="12456" tabRatio="620" firstSheet="1" activeTab="7" xr2:uid="{00000000-000D-0000-FFFF-FFFF00000000}"/>
  </bookViews>
  <sheets>
    <sheet name="🚗 Route 1" sheetId="2" r:id="rId1"/>
    <sheet name="🚗 Route 2" sheetId="10" r:id="rId2"/>
    <sheet name="🚗 Route 3" sheetId="12" r:id="rId3"/>
    <sheet name="🚗 Route 4" sheetId="13" r:id="rId4"/>
    <sheet name="🚗 Route 5" sheetId="14" r:id="rId5"/>
    <sheet name="All Routes" sheetId="17" r:id="rId6"/>
    <sheet name="ANOVA" sheetId="18" r:id="rId7"/>
    <sheet name="Confidence Interval" sheetId="1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2" l="1"/>
  <c r="G7" i="12"/>
  <c r="G4" i="12"/>
  <c r="F5" i="12"/>
  <c r="J11" i="12"/>
  <c r="E7" i="12"/>
  <c r="E6" i="12"/>
  <c r="F22" i="14"/>
  <c r="E22" i="14"/>
  <c r="D22" i="14"/>
  <c r="C22" i="14"/>
  <c r="F21" i="14"/>
  <c r="E21" i="14"/>
  <c r="D21" i="14"/>
  <c r="C21" i="14"/>
  <c r="F20" i="14"/>
  <c r="E20" i="14"/>
  <c r="D20" i="14"/>
  <c r="C20" i="14"/>
  <c r="F19" i="14"/>
  <c r="E19" i="14"/>
  <c r="D19" i="14"/>
  <c r="C19" i="14"/>
  <c r="F18" i="14"/>
  <c r="E18" i="14"/>
  <c r="D18" i="14"/>
  <c r="C18" i="14"/>
  <c r="J13" i="14"/>
  <c r="I13" i="14"/>
  <c r="H13" i="14"/>
  <c r="J12" i="14"/>
  <c r="I12" i="14"/>
  <c r="H12" i="14"/>
  <c r="J11" i="14"/>
  <c r="I11" i="14"/>
  <c r="H11" i="14"/>
  <c r="J10" i="14"/>
  <c r="I10" i="14"/>
  <c r="H10" i="14"/>
  <c r="J9" i="14"/>
  <c r="I9" i="14"/>
  <c r="H9" i="14"/>
  <c r="J8" i="14"/>
  <c r="I8" i="14"/>
  <c r="H8" i="14"/>
  <c r="J7" i="14"/>
  <c r="I7" i="14"/>
  <c r="H7" i="14"/>
  <c r="J6" i="14"/>
  <c r="I6" i="14"/>
  <c r="H6" i="14"/>
  <c r="J5" i="14"/>
  <c r="I5" i="14"/>
  <c r="H5" i="14"/>
  <c r="J4" i="14"/>
  <c r="I4" i="14"/>
  <c r="H4" i="14"/>
  <c r="F22" i="13"/>
  <c r="E22" i="13"/>
  <c r="D22" i="13"/>
  <c r="C22" i="13"/>
  <c r="F21" i="13"/>
  <c r="E21" i="13"/>
  <c r="D21" i="13"/>
  <c r="C21" i="13"/>
  <c r="F20" i="13"/>
  <c r="E20" i="13"/>
  <c r="D20" i="13"/>
  <c r="C20" i="13"/>
  <c r="F19" i="13"/>
  <c r="E19" i="13"/>
  <c r="D19" i="13"/>
  <c r="C19" i="13"/>
  <c r="F18" i="13"/>
  <c r="E18" i="13"/>
  <c r="D18" i="13"/>
  <c r="C18" i="13"/>
  <c r="J13" i="13"/>
  <c r="I13" i="13"/>
  <c r="H13" i="13"/>
  <c r="J12" i="13"/>
  <c r="I12" i="13"/>
  <c r="H12" i="13"/>
  <c r="J11" i="13"/>
  <c r="I11" i="13"/>
  <c r="H11" i="13"/>
  <c r="J10" i="13"/>
  <c r="I10" i="13"/>
  <c r="H10" i="13"/>
  <c r="J9" i="13"/>
  <c r="I9" i="13"/>
  <c r="H9" i="13"/>
  <c r="J8" i="13"/>
  <c r="I8" i="13"/>
  <c r="H8" i="13"/>
  <c r="J7" i="13"/>
  <c r="I7" i="13"/>
  <c r="H7" i="13"/>
  <c r="J6" i="13"/>
  <c r="I6" i="13"/>
  <c r="H6" i="13"/>
  <c r="J5" i="13"/>
  <c r="I5" i="13"/>
  <c r="H5" i="13"/>
  <c r="J4" i="13"/>
  <c r="I4" i="13"/>
  <c r="H4" i="13"/>
  <c r="E22" i="12"/>
  <c r="D22" i="12"/>
  <c r="C22" i="12"/>
  <c r="E21" i="12"/>
  <c r="D21" i="12"/>
  <c r="E20" i="12"/>
  <c r="D20" i="12"/>
  <c r="C20" i="12"/>
  <c r="F19" i="12"/>
  <c r="E19" i="12"/>
  <c r="D19" i="12"/>
  <c r="F18" i="12"/>
  <c r="E18" i="12"/>
  <c r="D18" i="12"/>
  <c r="C18" i="12"/>
  <c r="J13" i="12"/>
  <c r="I13" i="12"/>
  <c r="H13" i="12"/>
  <c r="J12" i="12"/>
  <c r="I12" i="12"/>
  <c r="H12" i="12"/>
  <c r="I11" i="12"/>
  <c r="H11" i="12"/>
  <c r="J10" i="12"/>
  <c r="I10" i="12"/>
  <c r="H10" i="12"/>
  <c r="J9" i="12"/>
  <c r="I9" i="12"/>
  <c r="H9" i="12"/>
  <c r="J8" i="12"/>
  <c r="I8" i="12"/>
  <c r="H8" i="12"/>
  <c r="J7" i="12"/>
  <c r="I7" i="12"/>
  <c r="H7" i="12"/>
  <c r="J6" i="12"/>
  <c r="I6" i="12"/>
  <c r="H6" i="12"/>
  <c r="J5" i="12"/>
  <c r="I5" i="12"/>
  <c r="H5" i="12"/>
  <c r="J4" i="12"/>
  <c r="I4" i="12"/>
  <c r="H4" i="12"/>
  <c r="F22" i="10"/>
  <c r="E22" i="10"/>
  <c r="D22" i="10"/>
  <c r="C22" i="10"/>
  <c r="F21" i="10"/>
  <c r="E21" i="10"/>
  <c r="D21" i="10"/>
  <c r="C21" i="10"/>
  <c r="F20" i="10"/>
  <c r="E20" i="10"/>
  <c r="D20" i="10"/>
  <c r="C20" i="10"/>
  <c r="F19" i="10"/>
  <c r="E19" i="10"/>
  <c r="D19" i="10"/>
  <c r="C19" i="10"/>
  <c r="F18" i="10"/>
  <c r="E18" i="10"/>
  <c r="D18" i="10"/>
  <c r="C18" i="10"/>
  <c r="J13" i="10"/>
  <c r="I13" i="10"/>
  <c r="H13" i="10"/>
  <c r="J12" i="10"/>
  <c r="I12" i="10"/>
  <c r="H12" i="10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J4" i="10"/>
  <c r="I4" i="10"/>
  <c r="H4" i="10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J13" i="2"/>
  <c r="I13" i="2"/>
  <c r="H13" i="2"/>
  <c r="J12" i="2"/>
  <c r="I12" i="2"/>
  <c r="H12" i="2"/>
  <c r="J11" i="2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F20" i="12" l="1"/>
  <c r="C21" i="12"/>
  <c r="F22" i="12"/>
  <c r="C19" i="12"/>
  <c r="F21" i="12"/>
</calcChain>
</file>

<file path=xl/sharedStrings.xml><?xml version="1.0" encoding="utf-8"?>
<sst xmlns="http://schemas.openxmlformats.org/spreadsheetml/2006/main" count="372" uniqueCount="119">
  <si>
    <t>Route 1</t>
  </si>
  <si>
    <t>Route 2</t>
  </si>
  <si>
    <t>Route 3</t>
  </si>
  <si>
    <t>Route 4</t>
  </si>
  <si>
    <t>Route 5</t>
  </si>
  <si>
    <t>8:00 AM</t>
  </si>
  <si>
    <t>12:00 PM</t>
  </si>
  <si>
    <t>6:00 PM</t>
  </si>
  <si>
    <t>Route 1 — Uttara→Motijheel</t>
  </si>
  <si>
    <t>Route:</t>
  </si>
  <si>
    <t>Uttara Sector 7 → Motijheel (Shapla Chattar)</t>
  </si>
  <si>
    <t>Distance:</t>
  </si>
  <si>
    <t>Unit: minutes</t>
  </si>
  <si>
    <t>#</t>
  </si>
  <si>
    <t>Date</t>
  </si>
  <si>
    <t>Day</t>
  </si>
  <si>
    <t>8:00 AM (min)</t>
  </si>
  <si>
    <t>12:00 PM (min)</t>
  </si>
  <si>
    <t>6:00 PM (min)</t>
  </si>
  <si>
    <t>Daily Mean</t>
  </si>
  <si>
    <t>Daily Range</t>
  </si>
  <si>
    <t>Daily SD</t>
  </si>
  <si>
    <t>Sunday</t>
  </si>
  <si>
    <t>Monday</t>
  </si>
  <si>
    <t>Tuesday</t>
  </si>
  <si>
    <t>Wednesday</t>
  </si>
  <si>
    <t>Thursday</t>
  </si>
  <si>
    <t>Statistic</t>
  </si>
  <si>
    <t>Across All Slots</t>
  </si>
  <si>
    <t>Mean (avg)</t>
  </si>
  <si>
    <t>Std Dev</t>
  </si>
  <si>
    <t>Min</t>
  </si>
  <si>
    <t>Max</t>
  </si>
  <si>
    <t>n (count)</t>
  </si>
  <si>
    <t>Mohammadpur → Gulshan 2</t>
  </si>
  <si>
    <t>Rampura → Tejgaon Industrial Area</t>
  </si>
  <si>
    <t>Bashundhara → Banani</t>
  </si>
  <si>
    <t>Route</t>
  </si>
  <si>
    <t>Group</t>
  </si>
  <si>
    <t>Mirpur 10→Karwan Bazar</t>
  </si>
  <si>
    <t>Route 2 — Mirpur 10→Karwan Bazar</t>
  </si>
  <si>
    <t>~7.2 km</t>
  </si>
  <si>
    <t>~20.2 km</t>
  </si>
  <si>
    <t>Route 3 — Mohammadpur → Gulshan 2</t>
  </si>
  <si>
    <t>Route 4 — Rampura → Tejgaon Industrial Area</t>
  </si>
  <si>
    <t>Route 5 — Bashundhara → Banani</t>
  </si>
  <si>
    <t>~11 km</t>
  </si>
  <si>
    <t>~4.4 km</t>
  </si>
  <si>
    <t>~9.3 km</t>
  </si>
  <si>
    <t>Summary Statistics</t>
  </si>
  <si>
    <t>Variance</t>
  </si>
  <si>
    <t>Average</t>
  </si>
  <si>
    <t>Sum</t>
  </si>
  <si>
    <t>Count</t>
  </si>
  <si>
    <t>Total</t>
  </si>
  <si>
    <t>Within</t>
  </si>
  <si>
    <t>Interaction</t>
  </si>
  <si>
    <t>Columns</t>
  </si>
  <si>
    <t>Sample</t>
  </si>
  <si>
    <t>SUMMARY</t>
  </si>
  <si>
    <t>F crit</t>
  </si>
  <si>
    <t>P-value</t>
  </si>
  <si>
    <t>F</t>
  </si>
  <si>
    <t>MS</t>
  </si>
  <si>
    <t>df</t>
  </si>
  <si>
    <t>SS</t>
  </si>
  <si>
    <t>Source of Variation</t>
  </si>
  <si>
    <t>ANOVA</t>
  </si>
  <si>
    <t>Anova: Two-Factor With Replication</t>
  </si>
  <si>
    <t>Route 5 at 6:00 PM</t>
  </si>
  <si>
    <t>Route 5 at 12:00 PM</t>
  </si>
  <si>
    <t>Route 5 at 8:00 AM</t>
  </si>
  <si>
    <t>Route 4 at 6:00 PM</t>
  </si>
  <si>
    <t>Route 4 at 12:00 PM</t>
  </si>
  <si>
    <t>Route 4 at 8:00 AM</t>
  </si>
  <si>
    <t>Route 3 at 6:00 PM</t>
  </si>
  <si>
    <t>Route 3 at 12:00 PM</t>
  </si>
  <si>
    <t>Route 3 at 8:00 AM</t>
  </si>
  <si>
    <t>Route 2 at 6:00 PM</t>
  </si>
  <si>
    <t>Route 2 at 12:00 PM</t>
  </si>
  <si>
    <t>Route 2 at 8:00 AM</t>
  </si>
  <si>
    <t>Route 1 at 6:00 PM</t>
  </si>
  <si>
    <t>Route 1 at 12:00 PM</t>
  </si>
  <si>
    <t>Route 1 at 8:00 AM</t>
  </si>
  <si>
    <t>Upper Bound</t>
  </si>
  <si>
    <t>Lower Bound</t>
  </si>
  <si>
    <t>Margin of Error</t>
  </si>
  <si>
    <t>Standard Error</t>
  </si>
  <si>
    <t>Mean</t>
  </si>
  <si>
    <t>Count (n)</t>
  </si>
  <si>
    <t>3. INTERACTION EFFECTS: Route × Time</t>
  </si>
  <si>
    <t>Smaller sample size (n) = Wider margin of error!</t>
  </si>
  <si>
    <t>The Rule of 'n':</t>
  </si>
  <si>
    <t>2. MAIN EFFECT: Routes</t>
  </si>
  <si>
    <t>n = 10 (just the 10 specific reps)</t>
  </si>
  <si>
    <t xml:space="preserve">    Interactions</t>
  </si>
  <si>
    <t>n = 30 (10 reps × 3 times)</t>
  </si>
  <si>
    <t xml:space="preserve">    Route Groups</t>
  </si>
  <si>
    <t>n = 50 (10 reps × 5 routes)</t>
  </si>
  <si>
    <t xml:space="preserve">    Time Groups</t>
  </si>
  <si>
    <t>Changes based on the group you analyze:</t>
  </si>
  <si>
    <t>- n (Sample Size)</t>
  </si>
  <si>
    <t>Fixed multiplier for 95% certainty (df=135).</t>
  </si>
  <si>
    <t>- t-Critical (1.977)</t>
  </si>
  <si>
    <t>Pooled variance fixed from ANOVA table.</t>
  </si>
  <si>
    <t>- MSE (1.5887)</t>
  </si>
  <si>
    <t>1. MAIN EFFECT: Time Blocks</t>
  </si>
  <si>
    <t>Key Variables Explained:</t>
  </si>
  <si>
    <t>ME = t-Critical × SE</t>
  </si>
  <si>
    <t>t-Critical Value:</t>
  </si>
  <si>
    <t>SE = SQRT( MSE / n )</t>
  </si>
  <si>
    <t>Standard Error (SE)</t>
  </si>
  <si>
    <t>Degrees of Freedom (Within):</t>
  </si>
  <si>
    <t>Mean Square Error (Within):</t>
  </si>
  <si>
    <t>CI = Mean ± Margin of Error</t>
  </si>
  <si>
    <t>Master Formula</t>
  </si>
  <si>
    <t>Alpha:</t>
  </si>
  <si>
    <t>Calculation</t>
  </si>
  <si>
    <t>ANOVA Post-Hoc 95% Confidence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</si>
</sst>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D6F6F"/>
        <bgColor rgb="FF008080"/>
      </patternFill>
    </fill>
    <fill>
      <patternFill patternType="solid">
        <fgColor rgb="FFF1EFE8"/>
        <bgColor rgb="FFFAEEDA"/>
      </patternFill>
    </fill>
    <fill>
      <patternFill patternType="solid">
        <fgColor rgb="FFE1F5EE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EEEDFE"/>
        <bgColor rgb="FFF1EFE8"/>
      </patternFill>
    </fill>
    <fill>
      <patternFill patternType="solid">
        <fgColor rgb="FFFFFFFF"/>
        <bgColor rgb="FFFFFDF6"/>
      </patternFill>
    </fill>
    <fill>
      <patternFill patternType="solid">
        <fgColor rgb="FFF9F9F9"/>
        <bgColor rgb="FFF7F7F5"/>
      </patternFill>
    </fill>
    <fill>
      <patternFill patternType="solid">
        <fgColor theme="8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548235"/>
        <bgColor rgb="FF548235"/>
      </patternFill>
    </fill>
    <fill>
      <patternFill patternType="solid">
        <fgColor rgb="FF2F75B5"/>
        <bgColor rgb="FF2F75B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0" fillId="0" borderId="0" xfId="0" applyAlignment="1"/>
    <xf numFmtId="0" fontId="4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/>
    <xf numFmtId="0" fontId="2" fillId="0" borderId="0" xfId="0" applyFont="1" applyAlignment="1"/>
    <xf numFmtId="0" fontId="7" fillId="0" borderId="0" xfId="0" applyFont="1" applyAlignment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8" fontId="0" fillId="0" borderId="0" xfId="0" applyNumberFormat="1"/>
    <xf numFmtId="0" fontId="2" fillId="0" borderId="0" xfId="0" applyFont="1" applyBorder="1" applyAlignment="1"/>
    <xf numFmtId="0" fontId="3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2" xfId="0" applyNumberFormat="1" applyBorder="1" applyAlignment="1">
      <alignment vertical="center"/>
    </xf>
    <xf numFmtId="0" fontId="12" fillId="0" borderId="9" xfId="0" applyFont="1" applyBorder="1"/>
    <xf numFmtId="0" fontId="12" fillId="0" borderId="4" xfId="0" applyFont="1" applyBorder="1"/>
    <xf numFmtId="0" fontId="12" fillId="0" borderId="10" xfId="0" applyFont="1" applyBorder="1"/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vertical="center"/>
    </xf>
    <xf numFmtId="18" fontId="8" fillId="0" borderId="0" xfId="0" applyNumberFormat="1" applyFont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8" fontId="10" fillId="0" borderId="2" xfId="0" applyNumberFormat="1" applyFont="1" applyBorder="1" applyAlignment="1">
      <alignment horizontal="center" vertical="center" wrapText="1"/>
    </xf>
    <xf numFmtId="0" fontId="1" fillId="0" borderId="0" xfId="1"/>
    <xf numFmtId="165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" fillId="0" borderId="2" xfId="1" applyBorder="1"/>
    <xf numFmtId="0" fontId="14" fillId="10" borderId="2" xfId="1" applyFont="1" applyFill="1" applyBorder="1"/>
    <xf numFmtId="0" fontId="1" fillId="0" borderId="2" xfId="1" applyBorder="1"/>
    <xf numFmtId="0" fontId="13" fillId="0" borderId="2" xfId="1" applyFont="1" applyBorder="1"/>
    <xf numFmtId="166" fontId="1" fillId="0" borderId="2" xfId="1" applyNumberFormat="1" applyBorder="1"/>
    <xf numFmtId="0" fontId="15" fillId="11" borderId="2" xfId="1" applyFont="1" applyFill="1" applyBorder="1" applyAlignment="1">
      <alignment horizontal="center" vertical="center"/>
    </xf>
    <xf numFmtId="0" fontId="16" fillId="0" borderId="0" xfId="1" applyFont="1"/>
    <xf numFmtId="0" fontId="15" fillId="1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39CF316A-D081-4B66-B9CA-1CBE2BDF683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3" formatCode="h:mm\ AM/P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00"/>
      <rgbColor rgb="FF800080"/>
      <rgbColor rgb="FF1D6F6F"/>
      <rgbColor rgb="FFCCCCCC"/>
      <rgbColor rgb="FF888888"/>
      <rgbColor rgb="FF9999FF"/>
      <rgbColor rgb="FF993366"/>
      <rgbColor rgb="FFFFFDF6"/>
      <rgbColor rgb="FFE1F5EE"/>
      <rgbColor rgb="FF660066"/>
      <rgbColor rgb="FFFF8080"/>
      <rgbColor rgb="FF0066CC"/>
      <rgbColor rgb="FFF7F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1EFE8"/>
      <rgbColor rgb="FFFAEEDA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3B2A70"/>
      <rgbColor rgb="FF339966"/>
      <rgbColor rgb="FF003300"/>
      <rgbColor rgb="FF333300"/>
      <rgbColor rgb="FF7B4F00"/>
      <rgbColor rgb="FF993366"/>
      <rgbColor rgb="FF4B2E83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C4F02-4553-41D6-8BB9-34B4518279C8}" name="Table3" displayName="Table3" ref="A3:D53" totalsRowShown="0" headerRowDxfId="0">
  <autoFilter ref="A3:D53" xr:uid="{4E70E378-6BD6-47C5-AA64-6C8CB5A1D08F}">
    <filterColumn colId="0" hiddenButton="1"/>
    <filterColumn colId="1" hiddenButton="1"/>
    <filterColumn colId="2" hiddenButton="1"/>
    <filterColumn colId="3" hiddenButton="1"/>
  </autoFilter>
  <tableColumns count="4">
    <tableColumn id="1" xr3:uid="{81D9B7DA-5AF4-4747-A45E-FF7154F337AC}" name="Route" dataDxfId="4"/>
    <tableColumn id="2" xr3:uid="{E6DA43A6-6AE3-4755-9C1B-9620A21C3857}" name="8:00 AM" dataDxfId="3"/>
    <tableColumn id="3" xr3:uid="{CE59EBBD-353C-4482-BAA8-52D1DC98764B}" name="12:00 PM" dataDxfId="2"/>
    <tableColumn id="4" xr3:uid="{DFEB88D5-D226-4AF1-8A2B-B13B0199D2E2}" name="6:00 PM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2B996-65DC-4D34-AED6-7A4296A0FA40}" name="Table4" displayName="Table4" ref="F3:J40" headerRowCount="0" totalsRowShown="0" headerRowDxfId="23" dataDxfId="22" tableBorderDxfId="21" totalsRowBorderDxfId="20">
  <tableColumns count="5">
    <tableColumn id="1" xr3:uid="{243B347E-9A6B-447A-8189-E93F6D488230}" name="Column1" dataDxfId="19"/>
    <tableColumn id="2" xr3:uid="{DB1E24D2-E3E7-42DB-A198-EDD3426A3817}" name="Column2" dataDxfId="18"/>
    <tableColumn id="3" xr3:uid="{CC99ECB6-EAB3-40AA-9520-223A07EACDD1}" name="Column3" dataDxfId="17"/>
    <tableColumn id="4" xr3:uid="{B76CBA10-E931-4195-89C1-6E6990E1405B}" name="Column4" dataDxfId="16"/>
    <tableColumn id="5" xr3:uid="{45A55E6B-D495-4AD6-856F-F4A14EF61F5D}" name="Column5" dataDxfId="15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90F82-1002-4867-A94C-4BC1CF32E4FD}" name="Table5" displayName="Table5" ref="L3:R10" headerRowCount="0" totalsRowShown="0" headerRowDxfId="14" tableBorderDxfId="13" totalsRowBorderDxfId="12">
  <tableColumns count="7">
    <tableColumn id="1" xr3:uid="{EAE5DBAF-6EAF-41BE-BBB2-74AE59AAFC47}" name="Column1" dataDxfId="11"/>
    <tableColumn id="2" xr3:uid="{BF856640-BFCF-4D63-811D-CEF085D9F05E}" name="Column2" dataDxfId="10"/>
    <tableColumn id="3" xr3:uid="{E00B607B-8E04-4257-9A0E-B730C37E563F}" name="Column3" dataDxfId="9"/>
    <tableColumn id="4" xr3:uid="{5328D081-84B4-4C48-96A9-419626501330}" name="Column4" dataDxfId="8"/>
    <tableColumn id="5" xr3:uid="{CC8FABF2-6C8E-42B5-903B-6EEC33E23FB8}" name="Column5" dataDxfId="7"/>
    <tableColumn id="6" xr3:uid="{38F8F403-E967-45BD-A0AF-BB06E724A2DE}" name="Column6" dataDxfId="6"/>
    <tableColumn id="7" xr3:uid="{F5595E94-2FD6-4BF3-A2BD-F600E18E8BCE}" name="Column7" dataDxfId="5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443CE5-CA3E-40BA-8842-E5BF33D1C66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bbcffee-d35f-44e7-a6b8-ac3b2625ce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K22"/>
  <sheetViews>
    <sheetView showGridLines="0" topLeftCell="A7" zoomScaleNormal="100" workbookViewId="0">
      <selection activeCell="M7" sqref="M7"/>
    </sheetView>
  </sheetViews>
  <sheetFormatPr defaultColWidth="8.6640625" defaultRowHeight="14.4" x14ac:dyDescent="0.3"/>
  <cols>
    <col min="1" max="1" width="5" style="1" customWidth="1"/>
    <col min="2" max="2" width="10.5546875" style="1" bestFit="1" customWidth="1"/>
    <col min="3" max="3" width="15.77734375" style="1" customWidth="1"/>
    <col min="4" max="4" width="16.88671875" style="1" customWidth="1"/>
    <col min="5" max="5" width="12.88671875" style="1" bestFit="1" customWidth="1"/>
    <col min="6" max="6" width="12.6640625" style="1" customWidth="1"/>
    <col min="7" max="7" width="12.88671875" style="1" bestFit="1" customWidth="1"/>
    <col min="8" max="8" width="10.33203125" style="1" bestFit="1" customWidth="1"/>
    <col min="9" max="9" width="11.44140625" style="1" bestFit="1" customWidth="1"/>
    <col min="10" max="10" width="8.33203125" style="1" bestFit="1" customWidth="1"/>
    <col min="11" max="11" width="12.44140625" bestFit="1" customWidth="1"/>
  </cols>
  <sheetData>
    <row r="1" spans="2:11" ht="31.5" customHeight="1" x14ac:dyDescent="0.3">
      <c r="B1" s="22" t="s">
        <v>8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x14ac:dyDescent="0.3">
      <c r="B2" s="6" t="s">
        <v>9</v>
      </c>
      <c r="C2" s="19" t="s">
        <v>10</v>
      </c>
      <c r="D2" s="19"/>
      <c r="E2" s="19"/>
      <c r="F2" s="19"/>
      <c r="G2" s="6" t="s">
        <v>11</v>
      </c>
      <c r="H2" s="7" t="s">
        <v>42</v>
      </c>
      <c r="I2" s="7" t="s">
        <v>12</v>
      </c>
      <c r="J2" s="8"/>
      <c r="K2" s="5"/>
    </row>
    <row r="3" spans="2:11" ht="26.4" x14ac:dyDescent="0.3"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1" t="s">
        <v>18</v>
      </c>
      <c r="H3" s="12" t="s">
        <v>19</v>
      </c>
      <c r="I3" s="12" t="s">
        <v>20</v>
      </c>
      <c r="J3" s="12" t="s">
        <v>21</v>
      </c>
    </row>
    <row r="4" spans="2:11" ht="18" customHeight="1" x14ac:dyDescent="0.3">
      <c r="B4" s="13">
        <v>1</v>
      </c>
      <c r="C4" s="14">
        <v>46124</v>
      </c>
      <c r="D4" s="13" t="s">
        <v>22</v>
      </c>
      <c r="E4" s="15">
        <v>38</v>
      </c>
      <c r="F4" s="15">
        <v>45</v>
      </c>
      <c r="G4" s="15">
        <v>41.5</v>
      </c>
      <c r="H4" s="16">
        <f t="shared" ref="H4:H13" si="0">IFERROR(AVERAGE(E4,F4,G4),"")</f>
        <v>41.5</v>
      </c>
      <c r="I4" s="13">
        <f t="shared" ref="I4:I13" si="1">IFERROR(MAX(E4,F4,G4)-MIN(E4,F4,G4),"")</f>
        <v>7</v>
      </c>
      <c r="J4" s="16">
        <f t="shared" ref="J4:J13" si="2">IFERROR(STDEV(E4,F4,G4),"")</f>
        <v>3.5</v>
      </c>
    </row>
    <row r="5" spans="2:11" ht="18" customHeight="1" x14ac:dyDescent="0.3">
      <c r="B5" s="13">
        <v>2</v>
      </c>
      <c r="C5" s="14">
        <v>46125</v>
      </c>
      <c r="D5" s="13" t="s">
        <v>23</v>
      </c>
      <c r="E5" s="17">
        <v>38</v>
      </c>
      <c r="F5" s="17">
        <v>47.5</v>
      </c>
      <c r="G5" s="17">
        <v>41.5</v>
      </c>
      <c r="H5" s="16">
        <f t="shared" si="0"/>
        <v>42.333333333333336</v>
      </c>
      <c r="I5" s="13">
        <f t="shared" si="1"/>
        <v>9.5</v>
      </c>
      <c r="J5" s="16">
        <f t="shared" si="2"/>
        <v>4.8045117684665248</v>
      </c>
    </row>
    <row r="6" spans="2:11" ht="18" customHeight="1" x14ac:dyDescent="0.3">
      <c r="B6" s="13">
        <v>3</v>
      </c>
      <c r="C6" s="14">
        <v>46126</v>
      </c>
      <c r="D6" s="13" t="s">
        <v>24</v>
      </c>
      <c r="E6" s="15">
        <v>38</v>
      </c>
      <c r="F6" s="15">
        <v>45</v>
      </c>
      <c r="G6" s="15">
        <v>41.5</v>
      </c>
      <c r="H6" s="16">
        <f t="shared" si="0"/>
        <v>41.5</v>
      </c>
      <c r="I6" s="13">
        <f t="shared" si="1"/>
        <v>7</v>
      </c>
      <c r="J6" s="16">
        <f t="shared" si="2"/>
        <v>3.5</v>
      </c>
    </row>
    <row r="7" spans="2:11" ht="18" customHeight="1" x14ac:dyDescent="0.3">
      <c r="B7" s="13">
        <v>4</v>
      </c>
      <c r="C7" s="14">
        <v>46127</v>
      </c>
      <c r="D7" s="13" t="s">
        <v>25</v>
      </c>
      <c r="E7" s="17">
        <v>35.5</v>
      </c>
      <c r="F7" s="17">
        <v>42.5</v>
      </c>
      <c r="G7" s="17">
        <v>41.5</v>
      </c>
      <c r="H7" s="16">
        <f t="shared" si="0"/>
        <v>39.833333333333336</v>
      </c>
      <c r="I7" s="13">
        <f t="shared" si="1"/>
        <v>7</v>
      </c>
      <c r="J7" s="16">
        <f t="shared" si="2"/>
        <v>3.7859388972001828</v>
      </c>
    </row>
    <row r="8" spans="2:11" ht="18" customHeight="1" x14ac:dyDescent="0.3">
      <c r="B8" s="13">
        <v>5</v>
      </c>
      <c r="C8" s="14">
        <v>46128</v>
      </c>
      <c r="D8" s="13" t="s">
        <v>26</v>
      </c>
      <c r="E8" s="15">
        <v>35.5</v>
      </c>
      <c r="F8" s="15">
        <v>42.5</v>
      </c>
      <c r="G8" s="15">
        <v>39</v>
      </c>
      <c r="H8" s="16">
        <f t="shared" si="0"/>
        <v>39</v>
      </c>
      <c r="I8" s="13">
        <f t="shared" si="1"/>
        <v>7</v>
      </c>
      <c r="J8" s="16">
        <f t="shared" si="2"/>
        <v>3.5</v>
      </c>
    </row>
    <row r="9" spans="2:11" ht="18" customHeight="1" x14ac:dyDescent="0.3">
      <c r="B9" s="13">
        <v>6</v>
      </c>
      <c r="C9" s="14">
        <v>46131</v>
      </c>
      <c r="D9" s="13" t="s">
        <v>22</v>
      </c>
      <c r="E9" s="17">
        <v>38</v>
      </c>
      <c r="F9" s="17">
        <v>45</v>
      </c>
      <c r="G9" s="17">
        <v>41.5</v>
      </c>
      <c r="H9" s="16">
        <f t="shared" si="0"/>
        <v>41.5</v>
      </c>
      <c r="I9" s="13">
        <f t="shared" si="1"/>
        <v>7</v>
      </c>
      <c r="J9" s="16">
        <f t="shared" si="2"/>
        <v>3.5</v>
      </c>
    </row>
    <row r="10" spans="2:11" ht="18" customHeight="1" x14ac:dyDescent="0.3">
      <c r="B10" s="13">
        <v>7</v>
      </c>
      <c r="C10" s="14">
        <v>46132</v>
      </c>
      <c r="D10" s="13" t="s">
        <v>23</v>
      </c>
      <c r="E10" s="15">
        <v>38</v>
      </c>
      <c r="F10" s="15">
        <v>47.5</v>
      </c>
      <c r="G10" s="15">
        <v>41.5</v>
      </c>
      <c r="H10" s="16">
        <f t="shared" si="0"/>
        <v>42.333333333333336</v>
      </c>
      <c r="I10" s="13">
        <f t="shared" si="1"/>
        <v>9.5</v>
      </c>
      <c r="J10" s="16">
        <f t="shared" si="2"/>
        <v>4.8045117684665248</v>
      </c>
    </row>
    <row r="11" spans="2:11" ht="18" customHeight="1" x14ac:dyDescent="0.3">
      <c r="B11" s="13">
        <v>8</v>
      </c>
      <c r="C11" s="14">
        <v>46133</v>
      </c>
      <c r="D11" s="13" t="s">
        <v>24</v>
      </c>
      <c r="E11" s="17">
        <v>36</v>
      </c>
      <c r="F11" s="17">
        <v>45</v>
      </c>
      <c r="G11" s="17">
        <v>41.5</v>
      </c>
      <c r="H11" s="16">
        <f t="shared" si="0"/>
        <v>40.833333333333336</v>
      </c>
      <c r="I11" s="13">
        <f t="shared" si="1"/>
        <v>9</v>
      </c>
      <c r="J11" s="16">
        <f t="shared" si="2"/>
        <v>4.5368858629387336</v>
      </c>
    </row>
    <row r="12" spans="2:11" ht="18" customHeight="1" x14ac:dyDescent="0.3">
      <c r="B12" s="13">
        <v>9</v>
      </c>
      <c r="C12" s="14">
        <v>46134</v>
      </c>
      <c r="D12" s="13" t="s">
        <v>25</v>
      </c>
      <c r="E12" s="15">
        <v>36</v>
      </c>
      <c r="F12" s="15">
        <v>42.5</v>
      </c>
      <c r="G12" s="15">
        <v>41.5</v>
      </c>
      <c r="H12" s="16">
        <f t="shared" si="0"/>
        <v>40</v>
      </c>
      <c r="I12" s="13">
        <f t="shared" si="1"/>
        <v>6.5</v>
      </c>
      <c r="J12" s="16">
        <f t="shared" si="2"/>
        <v>3.5</v>
      </c>
    </row>
    <row r="13" spans="2:11" ht="18" customHeight="1" x14ac:dyDescent="0.3">
      <c r="B13" s="13">
        <v>10</v>
      </c>
      <c r="C13" s="14">
        <v>46135</v>
      </c>
      <c r="D13" s="13" t="s">
        <v>26</v>
      </c>
      <c r="E13" s="17">
        <v>35.5</v>
      </c>
      <c r="F13" s="17">
        <v>42.5</v>
      </c>
      <c r="G13" s="17">
        <v>39</v>
      </c>
      <c r="H13" s="16">
        <f t="shared" si="0"/>
        <v>39</v>
      </c>
      <c r="I13" s="13">
        <f t="shared" si="1"/>
        <v>7</v>
      </c>
      <c r="J13" s="16">
        <f t="shared" si="2"/>
        <v>3.5</v>
      </c>
    </row>
    <row r="15" spans="2:11" ht="7.5" customHeight="1" x14ac:dyDescent="0.3"/>
    <row r="16" spans="2:11" ht="19.5" customHeight="1" x14ac:dyDescent="0.3">
      <c r="B16" s="20" t="s">
        <v>49</v>
      </c>
      <c r="C16" s="20"/>
      <c r="D16" s="20"/>
      <c r="E16" s="20"/>
      <c r="F16" s="20"/>
      <c r="G16" s="20"/>
      <c r="H16" s="20"/>
      <c r="I16" s="20"/>
      <c r="J16" s="20"/>
    </row>
    <row r="17" spans="2:6" ht="26.4" x14ac:dyDescent="0.3">
      <c r="B17" s="4" t="s">
        <v>27</v>
      </c>
      <c r="C17" s="4" t="s">
        <v>5</v>
      </c>
      <c r="D17" s="4" t="s">
        <v>6</v>
      </c>
      <c r="E17" s="4" t="s">
        <v>7</v>
      </c>
      <c r="F17" s="4" t="s">
        <v>28</v>
      </c>
    </row>
    <row r="18" spans="2:6" ht="18" customHeight="1" x14ac:dyDescent="0.3">
      <c r="B18" s="2" t="s">
        <v>29</v>
      </c>
      <c r="C18" s="3">
        <f>IFERROR(AVERAGE(E4:E13),"")</f>
        <v>36.85</v>
      </c>
      <c r="D18" s="3">
        <f>IFERROR(AVERAGE(F4:F13),"")</f>
        <v>44.5</v>
      </c>
      <c r="E18" s="3">
        <f>IFERROR(AVERAGE(G4:G13),"")</f>
        <v>41</v>
      </c>
      <c r="F18" s="3">
        <f>IFERROR(AVERAGE(E4:G13),"")</f>
        <v>40.783333333333331</v>
      </c>
    </row>
    <row r="19" spans="2:6" ht="18" customHeight="1" x14ac:dyDescent="0.3">
      <c r="B19" s="2" t="s">
        <v>30</v>
      </c>
      <c r="C19" s="3">
        <f>IFERROR(STDEV(E4:E13),"")</f>
        <v>1.2258783698955527</v>
      </c>
      <c r="D19" s="3">
        <f>IFERROR(STDEV(F4:F13),"")</f>
        <v>1.9720265943665387</v>
      </c>
      <c r="E19" s="3">
        <f>IFERROR(STDEV(G4:G13),"")</f>
        <v>1.0540925533894598</v>
      </c>
      <c r="F19" s="3">
        <f>IFERROR(STDEV(E4:G13),"")</f>
        <v>3.4831697151255514</v>
      </c>
    </row>
    <row r="20" spans="2:6" ht="18" customHeight="1" x14ac:dyDescent="0.3">
      <c r="B20" s="2" t="s">
        <v>31</v>
      </c>
      <c r="C20" s="3">
        <f>IFERROR(MIN(E4:E13),"")</f>
        <v>35.5</v>
      </c>
      <c r="D20" s="3">
        <f>IFERROR(MIN(F4:F13),"")</f>
        <v>42.5</v>
      </c>
      <c r="E20" s="3">
        <f>IFERROR(MIN(G4:G13),"")</f>
        <v>39</v>
      </c>
      <c r="F20" s="3">
        <f>IFERROR(MIN(E4:G13),"")</f>
        <v>35.5</v>
      </c>
    </row>
    <row r="21" spans="2:6" ht="18" customHeight="1" x14ac:dyDescent="0.3">
      <c r="B21" s="2" t="s">
        <v>32</v>
      </c>
      <c r="C21" s="3">
        <f>IFERROR(MAX(E4:E13),"")</f>
        <v>38</v>
      </c>
      <c r="D21" s="3">
        <f>IFERROR(MAX(F4:F13),"")</f>
        <v>47.5</v>
      </c>
      <c r="E21" s="3">
        <f>IFERROR(MAX(G4:G13),"")</f>
        <v>41.5</v>
      </c>
      <c r="F21" s="3">
        <f>IFERROR(MAX(E4:G13),"")</f>
        <v>47.5</v>
      </c>
    </row>
    <row r="22" spans="2:6" ht="18" customHeight="1" x14ac:dyDescent="0.3">
      <c r="B22" s="2" t="s">
        <v>33</v>
      </c>
      <c r="C22" s="3">
        <f>IFERROR(COUNT(E4:E13),"")</f>
        <v>10</v>
      </c>
      <c r="D22" s="3">
        <f>IFERROR(COUNT(F4:F13),"")</f>
        <v>10</v>
      </c>
      <c r="E22" s="3">
        <f>IFERROR(COUNT(G4:G13),"")</f>
        <v>10</v>
      </c>
      <c r="F22" s="3">
        <f>IFERROR(COUNT(E4:G13),"")</f>
        <v>30</v>
      </c>
    </row>
  </sheetData>
  <mergeCells count="3">
    <mergeCell ref="C2:F2"/>
    <mergeCell ref="B16:J16"/>
    <mergeCell ref="B1:K1"/>
  </mergeCells>
  <conditionalFormatting sqref="E4:G13">
    <cfRule type="colorScale" priority="2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D706-8B86-4BB0-BEF1-FF1D47D6E590}">
  <sheetPr codeName="Sheet3">
    <pageSetUpPr autoPageBreaks="0"/>
  </sheetPr>
  <dimension ref="A1:K22"/>
  <sheetViews>
    <sheetView showGridLines="0" zoomScaleNormal="100" workbookViewId="0">
      <selection activeCell="B17" sqref="B17"/>
    </sheetView>
  </sheetViews>
  <sheetFormatPr defaultColWidth="8.6640625" defaultRowHeight="14.4" x14ac:dyDescent="0.3"/>
  <cols>
    <col min="1" max="1" width="5" style="1" customWidth="1"/>
    <col min="2" max="2" width="10.5546875" style="1" bestFit="1" customWidth="1"/>
    <col min="3" max="3" width="15.77734375" style="1" customWidth="1"/>
    <col min="4" max="4" width="16.88671875" style="1" customWidth="1"/>
    <col min="5" max="5" width="12.88671875" style="1" bestFit="1" customWidth="1"/>
    <col min="6" max="6" width="14.44140625" style="1" customWidth="1"/>
    <col min="7" max="7" width="12.88671875" style="1" bestFit="1" customWidth="1"/>
    <col min="8" max="8" width="10.33203125" style="1" bestFit="1" customWidth="1"/>
    <col min="9" max="9" width="11.44140625" style="1" bestFit="1" customWidth="1"/>
    <col min="10" max="10" width="8.33203125" style="1" bestFit="1" customWidth="1"/>
    <col min="11" max="11" width="12.44140625" bestFit="1" customWidth="1"/>
  </cols>
  <sheetData>
    <row r="1" spans="2:11" ht="31.5" customHeight="1" x14ac:dyDescent="0.3">
      <c r="B1" s="22" t="s">
        <v>40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ht="18" customHeight="1" x14ac:dyDescent="0.3">
      <c r="B2" s="6" t="s">
        <v>9</v>
      </c>
      <c r="C2" s="19" t="s">
        <v>39</v>
      </c>
      <c r="D2" s="19"/>
      <c r="E2" s="19"/>
      <c r="F2" s="19"/>
      <c r="G2" s="6" t="s">
        <v>11</v>
      </c>
      <c r="H2" s="7" t="s">
        <v>41</v>
      </c>
      <c r="I2" s="7" t="s">
        <v>12</v>
      </c>
      <c r="J2" s="8"/>
      <c r="K2" s="5"/>
    </row>
    <row r="3" spans="2:11" ht="21.75" customHeight="1" x14ac:dyDescent="0.3"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1" t="s">
        <v>18</v>
      </c>
      <c r="H3" s="12" t="s">
        <v>19</v>
      </c>
      <c r="I3" s="12" t="s">
        <v>20</v>
      </c>
      <c r="J3" s="12" t="s">
        <v>21</v>
      </c>
    </row>
    <row r="4" spans="2:11" ht="18" customHeight="1" x14ac:dyDescent="0.3">
      <c r="B4" s="13">
        <v>1</v>
      </c>
      <c r="C4" s="14">
        <v>46124</v>
      </c>
      <c r="D4" s="13" t="s">
        <v>22</v>
      </c>
      <c r="E4" s="15">
        <v>26</v>
      </c>
      <c r="F4" s="15">
        <v>26</v>
      </c>
      <c r="G4" s="15">
        <v>28</v>
      </c>
      <c r="H4" s="16">
        <f t="shared" ref="H4:H13" si="0">IFERROR(AVERAGE(E4,F4,G4),"")</f>
        <v>26.666666666666668</v>
      </c>
      <c r="I4" s="13">
        <f t="shared" ref="I4:I13" si="1">IFERROR(MAX(E4,F4,G4)-MIN(E4,F4,G4),"")</f>
        <v>2</v>
      </c>
      <c r="J4" s="16">
        <f t="shared" ref="J4:J13" si="2">IFERROR(STDEV(E4,F4,G4),"")</f>
        <v>1.1547005383792515</v>
      </c>
    </row>
    <row r="5" spans="2:11" ht="18" customHeight="1" x14ac:dyDescent="0.3">
      <c r="B5" s="13">
        <v>2</v>
      </c>
      <c r="C5" s="14">
        <v>46125</v>
      </c>
      <c r="D5" s="13" t="s">
        <v>23</v>
      </c>
      <c r="E5" s="17">
        <v>25.5</v>
      </c>
      <c r="F5" s="17">
        <v>28</v>
      </c>
      <c r="G5" s="17">
        <v>28</v>
      </c>
      <c r="H5" s="16">
        <f t="shared" si="0"/>
        <v>27.166666666666668</v>
      </c>
      <c r="I5" s="13">
        <f t="shared" si="1"/>
        <v>2.5</v>
      </c>
      <c r="J5" s="16">
        <f t="shared" si="2"/>
        <v>1.4433756729740643</v>
      </c>
    </row>
    <row r="6" spans="2:11" ht="18" customHeight="1" x14ac:dyDescent="0.3">
      <c r="B6" s="13">
        <v>3</v>
      </c>
      <c r="C6" s="14">
        <v>46126</v>
      </c>
      <c r="D6" s="13" t="s">
        <v>24</v>
      </c>
      <c r="E6" s="15">
        <v>22</v>
      </c>
      <c r="F6" s="15">
        <v>26</v>
      </c>
      <c r="G6" s="15">
        <v>28</v>
      </c>
      <c r="H6" s="16">
        <f t="shared" si="0"/>
        <v>25.333333333333332</v>
      </c>
      <c r="I6" s="13">
        <f t="shared" si="1"/>
        <v>6</v>
      </c>
      <c r="J6" s="16">
        <f t="shared" si="2"/>
        <v>3.0550504633038935</v>
      </c>
    </row>
    <row r="7" spans="2:11" ht="18" customHeight="1" x14ac:dyDescent="0.3">
      <c r="B7" s="13">
        <v>4</v>
      </c>
      <c r="C7" s="14">
        <v>46127</v>
      </c>
      <c r="D7" s="13" t="s">
        <v>25</v>
      </c>
      <c r="E7" s="17">
        <v>25.5</v>
      </c>
      <c r="F7" s="17">
        <v>26</v>
      </c>
      <c r="G7" s="17">
        <v>26</v>
      </c>
      <c r="H7" s="16">
        <f t="shared" si="0"/>
        <v>25.833333333333332</v>
      </c>
      <c r="I7" s="13">
        <f t="shared" si="1"/>
        <v>0.5</v>
      </c>
      <c r="J7" s="16">
        <f t="shared" si="2"/>
        <v>0.28867513459481292</v>
      </c>
    </row>
    <row r="8" spans="2:11" ht="18" customHeight="1" x14ac:dyDescent="0.3">
      <c r="B8" s="13">
        <v>5</v>
      </c>
      <c r="C8" s="14">
        <v>46128</v>
      </c>
      <c r="D8" s="13" t="s">
        <v>26</v>
      </c>
      <c r="E8" s="15">
        <v>22</v>
      </c>
      <c r="F8" s="15">
        <v>26</v>
      </c>
      <c r="G8" s="15">
        <v>30</v>
      </c>
      <c r="H8" s="16">
        <f t="shared" si="0"/>
        <v>26</v>
      </c>
      <c r="I8" s="13">
        <f t="shared" si="1"/>
        <v>8</v>
      </c>
      <c r="J8" s="16">
        <f t="shared" si="2"/>
        <v>4</v>
      </c>
    </row>
    <row r="9" spans="2:11" ht="18" customHeight="1" x14ac:dyDescent="0.3">
      <c r="B9" s="13">
        <v>6</v>
      </c>
      <c r="C9" s="14">
        <v>46131</v>
      </c>
      <c r="D9" s="13" t="s">
        <v>22</v>
      </c>
      <c r="E9" s="17">
        <v>26</v>
      </c>
      <c r="F9" s="17">
        <v>26</v>
      </c>
      <c r="G9" s="17">
        <v>28</v>
      </c>
      <c r="H9" s="16">
        <f t="shared" si="0"/>
        <v>26.666666666666668</v>
      </c>
      <c r="I9" s="13">
        <f t="shared" si="1"/>
        <v>2</v>
      </c>
      <c r="J9" s="16">
        <f t="shared" si="2"/>
        <v>1.1547005383792515</v>
      </c>
    </row>
    <row r="10" spans="2:11" ht="18" customHeight="1" x14ac:dyDescent="0.3">
      <c r="B10" s="13">
        <v>7</v>
      </c>
      <c r="C10" s="14">
        <v>46132</v>
      </c>
      <c r="D10" s="13" t="s">
        <v>23</v>
      </c>
      <c r="E10" s="15">
        <v>26</v>
      </c>
      <c r="F10" s="15">
        <v>28</v>
      </c>
      <c r="G10" s="15">
        <v>30</v>
      </c>
      <c r="H10" s="16">
        <f t="shared" si="0"/>
        <v>28</v>
      </c>
      <c r="I10" s="13">
        <f t="shared" si="1"/>
        <v>4</v>
      </c>
      <c r="J10" s="16">
        <f t="shared" si="2"/>
        <v>2</v>
      </c>
    </row>
    <row r="11" spans="2:11" ht="18" customHeight="1" x14ac:dyDescent="0.3">
      <c r="B11" s="13">
        <v>8</v>
      </c>
      <c r="C11" s="14">
        <v>46133</v>
      </c>
      <c r="D11" s="13" t="s">
        <v>24</v>
      </c>
      <c r="E11" s="17">
        <v>21</v>
      </c>
      <c r="F11" s="17">
        <v>26</v>
      </c>
      <c r="G11" s="17">
        <v>28</v>
      </c>
      <c r="H11" s="16">
        <f t="shared" si="0"/>
        <v>25</v>
      </c>
      <c r="I11" s="13">
        <f t="shared" si="1"/>
        <v>7</v>
      </c>
      <c r="J11" s="16">
        <f t="shared" si="2"/>
        <v>3.6055512754639891</v>
      </c>
    </row>
    <row r="12" spans="2:11" ht="18" customHeight="1" x14ac:dyDescent="0.3">
      <c r="B12" s="13">
        <v>9</v>
      </c>
      <c r="C12" s="14">
        <v>46134</v>
      </c>
      <c r="D12" s="13" t="s">
        <v>25</v>
      </c>
      <c r="E12" s="15">
        <v>24.5</v>
      </c>
      <c r="F12" s="15">
        <v>26</v>
      </c>
      <c r="G12" s="15">
        <v>26</v>
      </c>
      <c r="H12" s="16">
        <f t="shared" si="0"/>
        <v>25.5</v>
      </c>
      <c r="I12" s="13">
        <f t="shared" si="1"/>
        <v>1.5</v>
      </c>
      <c r="J12" s="16">
        <f t="shared" si="2"/>
        <v>0.8660254037844386</v>
      </c>
    </row>
    <row r="13" spans="2:11" ht="18" customHeight="1" x14ac:dyDescent="0.3">
      <c r="B13" s="13">
        <v>10</v>
      </c>
      <c r="C13" s="14">
        <v>46135</v>
      </c>
      <c r="D13" s="13" t="s">
        <v>26</v>
      </c>
      <c r="E13" s="17">
        <v>22</v>
      </c>
      <c r="F13" s="17">
        <v>26</v>
      </c>
      <c r="G13" s="17">
        <v>28</v>
      </c>
      <c r="H13" s="16">
        <f t="shared" si="0"/>
        <v>25.333333333333332</v>
      </c>
      <c r="I13" s="13">
        <f t="shared" si="1"/>
        <v>6</v>
      </c>
      <c r="J13" s="16">
        <f t="shared" si="2"/>
        <v>3.0550504633038935</v>
      </c>
    </row>
    <row r="15" spans="2:11" ht="7.5" customHeight="1" x14ac:dyDescent="0.3"/>
    <row r="16" spans="2:11" ht="19.5" customHeight="1" x14ac:dyDescent="0.3">
      <c r="B16" s="20" t="s">
        <v>49</v>
      </c>
      <c r="C16" s="20"/>
      <c r="D16" s="20"/>
      <c r="E16" s="20"/>
      <c r="F16" s="20"/>
      <c r="G16" s="20"/>
      <c r="H16" s="20"/>
      <c r="I16" s="20"/>
      <c r="J16" s="20"/>
    </row>
    <row r="17" spans="2:6" ht="26.4" x14ac:dyDescent="0.3">
      <c r="B17" s="4" t="s">
        <v>27</v>
      </c>
      <c r="C17" s="4" t="s">
        <v>5</v>
      </c>
      <c r="D17" s="4" t="s">
        <v>6</v>
      </c>
      <c r="E17" s="4" t="s">
        <v>7</v>
      </c>
      <c r="F17" s="4" t="s">
        <v>28</v>
      </c>
    </row>
    <row r="18" spans="2:6" ht="18" customHeight="1" x14ac:dyDescent="0.3">
      <c r="B18" s="2" t="s">
        <v>29</v>
      </c>
      <c r="C18" s="3">
        <f>IFERROR(AVERAGE(E4:E13),"")</f>
        <v>24.05</v>
      </c>
      <c r="D18" s="3">
        <f>IFERROR(AVERAGE(F4:F13),"")</f>
        <v>26.4</v>
      </c>
      <c r="E18" s="3">
        <f>IFERROR(AVERAGE(G4:G13),"")</f>
        <v>28</v>
      </c>
      <c r="F18" s="3">
        <f>IFERROR(AVERAGE(E4:G13),"")</f>
        <v>26.15</v>
      </c>
    </row>
    <row r="19" spans="2:6" ht="18" customHeight="1" x14ac:dyDescent="0.3">
      <c r="B19" s="2" t="s">
        <v>30</v>
      </c>
      <c r="C19" s="3">
        <f>IFERROR(STDEV(E4:E13),"")</f>
        <v>2.0473560185435913</v>
      </c>
      <c r="D19" s="3">
        <f>IFERROR(STDEV(F4:F13),"")</f>
        <v>0.84327404271156792</v>
      </c>
      <c r="E19" s="3">
        <f>IFERROR(STDEV(G4:G13),"")</f>
        <v>1.3333333333333333</v>
      </c>
      <c r="F19" s="3">
        <f>IFERROR(STDEV(E4:G13),"")</f>
        <v>2.189906311962321</v>
      </c>
    </row>
    <row r="20" spans="2:6" ht="18" customHeight="1" x14ac:dyDescent="0.3">
      <c r="B20" s="2" t="s">
        <v>31</v>
      </c>
      <c r="C20" s="3">
        <f>IFERROR(MIN(E4:E13),"")</f>
        <v>21</v>
      </c>
      <c r="D20" s="3">
        <f>IFERROR(MIN(F4:F13),"")</f>
        <v>26</v>
      </c>
      <c r="E20" s="3">
        <f>IFERROR(MIN(G4:G13),"")</f>
        <v>26</v>
      </c>
      <c r="F20" s="3">
        <f>IFERROR(MIN(E4:G13),"")</f>
        <v>21</v>
      </c>
    </row>
    <row r="21" spans="2:6" ht="18" customHeight="1" x14ac:dyDescent="0.3">
      <c r="B21" s="2" t="s">
        <v>32</v>
      </c>
      <c r="C21" s="3">
        <f>IFERROR(MAX(E4:E13),"")</f>
        <v>26</v>
      </c>
      <c r="D21" s="3">
        <f>IFERROR(MAX(F4:F13),"")</f>
        <v>28</v>
      </c>
      <c r="E21" s="3">
        <f>IFERROR(MAX(G4:G13),"")</f>
        <v>30</v>
      </c>
      <c r="F21" s="3">
        <f>IFERROR(MAX(E4:G13),"")</f>
        <v>30</v>
      </c>
    </row>
    <row r="22" spans="2:6" ht="18" customHeight="1" x14ac:dyDescent="0.3">
      <c r="B22" s="2" t="s">
        <v>33</v>
      </c>
      <c r="C22" s="3">
        <f>IFERROR(COUNT(E4:E13),"")</f>
        <v>10</v>
      </c>
      <c r="D22" s="3">
        <f>IFERROR(COUNT(F4:F13),"")</f>
        <v>10</v>
      </c>
      <c r="E22" s="3">
        <f>IFERROR(COUNT(G4:G13),"")</f>
        <v>10</v>
      </c>
      <c r="F22" s="3">
        <f>IFERROR(COUNT(E4:G13),"")</f>
        <v>30</v>
      </c>
    </row>
  </sheetData>
  <mergeCells count="3">
    <mergeCell ref="B1:K1"/>
    <mergeCell ref="C2:F2"/>
    <mergeCell ref="B16:J16"/>
  </mergeCells>
  <conditionalFormatting sqref="E4:G13">
    <cfRule type="colorScale" priority="1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CFAF-4232-4F14-9213-9712F80E716A}">
  <sheetPr codeName="Sheet4">
    <pageSetUpPr autoPageBreaks="0"/>
  </sheetPr>
  <dimension ref="A1:K22"/>
  <sheetViews>
    <sheetView showGridLines="0" zoomScaleNormal="100" workbookViewId="0">
      <selection activeCell="A17" sqref="A17:XFD17"/>
    </sheetView>
  </sheetViews>
  <sheetFormatPr defaultColWidth="8.6640625" defaultRowHeight="14.4" x14ac:dyDescent="0.3"/>
  <cols>
    <col min="1" max="1" width="5" style="1" customWidth="1"/>
    <col min="2" max="2" width="10.5546875" style="1" bestFit="1" customWidth="1"/>
    <col min="3" max="3" width="15.77734375" style="1" customWidth="1"/>
    <col min="4" max="4" width="16.88671875" style="1" customWidth="1"/>
    <col min="5" max="5" width="12.88671875" style="1" bestFit="1" customWidth="1"/>
    <col min="6" max="6" width="14.44140625" style="1" customWidth="1"/>
    <col min="7" max="7" width="12.88671875" style="1" bestFit="1" customWidth="1"/>
    <col min="8" max="8" width="10.33203125" style="1" bestFit="1" customWidth="1"/>
    <col min="9" max="9" width="11.44140625" style="1" bestFit="1" customWidth="1"/>
    <col min="10" max="10" width="8.33203125" style="1" bestFit="1" customWidth="1"/>
    <col min="11" max="11" width="12.44140625" bestFit="1" customWidth="1"/>
  </cols>
  <sheetData>
    <row r="1" spans="2:11" ht="31.5" customHeight="1" x14ac:dyDescent="0.3">
      <c r="B1" s="22" t="s">
        <v>43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ht="18" customHeight="1" x14ac:dyDescent="0.3">
      <c r="B2" s="6" t="s">
        <v>9</v>
      </c>
      <c r="C2" s="19" t="s">
        <v>34</v>
      </c>
      <c r="D2" s="19"/>
      <c r="E2" s="19"/>
      <c r="F2" s="19"/>
      <c r="G2" s="6" t="s">
        <v>11</v>
      </c>
      <c r="H2" s="7" t="s">
        <v>46</v>
      </c>
      <c r="I2" s="7" t="s">
        <v>12</v>
      </c>
      <c r="J2" s="8"/>
      <c r="K2" s="5"/>
    </row>
    <row r="3" spans="2:11" ht="21.75" customHeight="1" x14ac:dyDescent="0.3"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1" t="s">
        <v>18</v>
      </c>
      <c r="H3" s="12" t="s">
        <v>19</v>
      </c>
      <c r="I3" s="12" t="s">
        <v>20</v>
      </c>
      <c r="J3" s="12" t="s">
        <v>21</v>
      </c>
    </row>
    <row r="4" spans="2:11" ht="18" customHeight="1" x14ac:dyDescent="0.3">
      <c r="B4" s="13">
        <v>1</v>
      </c>
      <c r="C4" s="14">
        <v>46124</v>
      </c>
      <c r="D4" s="13" t="s">
        <v>22</v>
      </c>
      <c r="E4" s="15">
        <v>33.5</v>
      </c>
      <c r="F4" s="15">
        <v>38</v>
      </c>
      <c r="G4" s="15">
        <f>(26+55)/2</f>
        <v>40.5</v>
      </c>
      <c r="H4" s="16">
        <f t="shared" ref="H4:H13" si="0">IFERROR(AVERAGE(E4,F4,G4),"")</f>
        <v>37.333333333333336</v>
      </c>
      <c r="I4" s="13">
        <f t="shared" ref="I4:I13" si="1">IFERROR(MAX(E4,F4,G4)-MIN(E4,F4,G4),"")</f>
        <v>7</v>
      </c>
      <c r="J4" s="16">
        <f t="shared" ref="J4:J13" si="2">IFERROR(STDEV(E4,F4,G4),"")</f>
        <v>3.5472994422987938</v>
      </c>
    </row>
    <row r="5" spans="2:11" ht="18" customHeight="1" x14ac:dyDescent="0.3">
      <c r="B5" s="13">
        <v>2</v>
      </c>
      <c r="C5" s="14">
        <v>46125</v>
      </c>
      <c r="D5" s="13" t="s">
        <v>23</v>
      </c>
      <c r="E5" s="17">
        <v>37</v>
      </c>
      <c r="F5" s="17">
        <f>83/2</f>
        <v>41.5</v>
      </c>
      <c r="G5" s="17">
        <v>40.5</v>
      </c>
      <c r="H5" s="16">
        <f t="shared" si="0"/>
        <v>39.666666666666664</v>
      </c>
      <c r="I5" s="13">
        <f t="shared" si="1"/>
        <v>4.5</v>
      </c>
      <c r="J5" s="16">
        <f t="shared" si="2"/>
        <v>2.3629078131263039</v>
      </c>
    </row>
    <row r="6" spans="2:11" ht="18" customHeight="1" x14ac:dyDescent="0.3">
      <c r="B6" s="13">
        <v>3</v>
      </c>
      <c r="C6" s="14">
        <v>46126</v>
      </c>
      <c r="D6" s="13" t="s">
        <v>24</v>
      </c>
      <c r="E6" s="15">
        <f>72/2</f>
        <v>36</v>
      </c>
      <c r="F6" s="15">
        <v>38</v>
      </c>
      <c r="G6" s="15">
        <v>41</v>
      </c>
      <c r="H6" s="16">
        <f t="shared" si="0"/>
        <v>38.333333333333336</v>
      </c>
      <c r="I6" s="13">
        <f t="shared" si="1"/>
        <v>5</v>
      </c>
      <c r="J6" s="16">
        <f t="shared" si="2"/>
        <v>2.5166114784235831</v>
      </c>
    </row>
    <row r="7" spans="2:11" ht="18" customHeight="1" x14ac:dyDescent="0.3">
      <c r="B7" s="13">
        <v>4</v>
      </c>
      <c r="C7" s="14">
        <v>46127</v>
      </c>
      <c r="D7" s="13" t="s">
        <v>25</v>
      </c>
      <c r="E7" s="17">
        <f>67/2</f>
        <v>33.5</v>
      </c>
      <c r="F7" s="17">
        <v>40</v>
      </c>
      <c r="G7" s="17">
        <f>74/2</f>
        <v>37</v>
      </c>
      <c r="H7" s="16">
        <f t="shared" si="0"/>
        <v>36.833333333333336</v>
      </c>
      <c r="I7" s="13">
        <f t="shared" si="1"/>
        <v>6.5</v>
      </c>
      <c r="J7" s="16">
        <f t="shared" si="2"/>
        <v>3.2532035493238558</v>
      </c>
    </row>
    <row r="8" spans="2:11" ht="18" customHeight="1" x14ac:dyDescent="0.3">
      <c r="B8" s="13">
        <v>5</v>
      </c>
      <c r="C8" s="14">
        <v>46128</v>
      </c>
      <c r="D8" s="13" t="s">
        <v>26</v>
      </c>
      <c r="E8" s="15">
        <v>33.5</v>
      </c>
      <c r="F8" s="15">
        <v>38</v>
      </c>
      <c r="G8" s="15">
        <f>79/2</f>
        <v>39.5</v>
      </c>
      <c r="H8" s="16">
        <f t="shared" si="0"/>
        <v>37</v>
      </c>
      <c r="I8" s="13">
        <f t="shared" si="1"/>
        <v>6</v>
      </c>
      <c r="J8" s="16">
        <f t="shared" si="2"/>
        <v>3.1224989991991992</v>
      </c>
    </row>
    <row r="9" spans="2:11" ht="18" customHeight="1" x14ac:dyDescent="0.3">
      <c r="B9" s="13">
        <v>6</v>
      </c>
      <c r="C9" s="14">
        <v>46131</v>
      </c>
      <c r="D9" s="13" t="s">
        <v>22</v>
      </c>
      <c r="E9" s="17">
        <v>33.5</v>
      </c>
      <c r="F9" s="17">
        <v>38</v>
      </c>
      <c r="G9" s="17">
        <v>41.5</v>
      </c>
      <c r="H9" s="16">
        <f t="shared" si="0"/>
        <v>37.666666666666664</v>
      </c>
      <c r="I9" s="13">
        <f t="shared" si="1"/>
        <v>8</v>
      </c>
      <c r="J9" s="16">
        <f t="shared" si="2"/>
        <v>4.010403138505322</v>
      </c>
    </row>
    <row r="10" spans="2:11" ht="18" customHeight="1" x14ac:dyDescent="0.3">
      <c r="B10" s="13">
        <v>7</v>
      </c>
      <c r="C10" s="14">
        <v>46132</v>
      </c>
      <c r="D10" s="13" t="s">
        <v>23</v>
      </c>
      <c r="E10" s="15">
        <v>36</v>
      </c>
      <c r="F10" s="15">
        <v>41.5</v>
      </c>
      <c r="G10" s="15">
        <v>41.5</v>
      </c>
      <c r="H10" s="16">
        <f t="shared" si="0"/>
        <v>39.666666666666664</v>
      </c>
      <c r="I10" s="13">
        <f t="shared" si="1"/>
        <v>5.5</v>
      </c>
      <c r="J10" s="16">
        <f t="shared" si="2"/>
        <v>3.1754264805429413</v>
      </c>
    </row>
    <row r="11" spans="2:11" ht="18" customHeight="1" x14ac:dyDescent="0.3">
      <c r="B11" s="13">
        <v>8</v>
      </c>
      <c r="C11" s="14">
        <v>46133</v>
      </c>
      <c r="D11" s="13" t="s">
        <v>24</v>
      </c>
      <c r="E11" s="17">
        <v>35</v>
      </c>
      <c r="F11" s="17">
        <v>39</v>
      </c>
      <c r="G11" s="17">
        <v>42</v>
      </c>
      <c r="H11" s="16">
        <f t="shared" si="0"/>
        <v>38.666666666666664</v>
      </c>
      <c r="I11" s="13">
        <f t="shared" si="1"/>
        <v>7</v>
      </c>
      <c r="J11" s="16">
        <f t="shared" si="2"/>
        <v>3.5118845842842461</v>
      </c>
    </row>
    <row r="12" spans="2:11" ht="18" customHeight="1" x14ac:dyDescent="0.3">
      <c r="B12" s="13">
        <v>9</v>
      </c>
      <c r="C12" s="14">
        <v>46134</v>
      </c>
      <c r="D12" s="13" t="s">
        <v>25</v>
      </c>
      <c r="E12" s="15">
        <v>35</v>
      </c>
      <c r="F12" s="15">
        <v>40</v>
      </c>
      <c r="G12" s="15">
        <v>37</v>
      </c>
      <c r="H12" s="16">
        <f t="shared" si="0"/>
        <v>37.333333333333336</v>
      </c>
      <c r="I12" s="13">
        <f t="shared" si="1"/>
        <v>5</v>
      </c>
      <c r="J12" s="16">
        <f t="shared" si="2"/>
        <v>2.5166114784235831</v>
      </c>
    </row>
    <row r="13" spans="2:11" ht="18" customHeight="1" x14ac:dyDescent="0.3">
      <c r="B13" s="13">
        <v>10</v>
      </c>
      <c r="C13" s="14">
        <v>46135</v>
      </c>
      <c r="D13" s="13" t="s">
        <v>26</v>
      </c>
      <c r="E13" s="17">
        <v>34</v>
      </c>
      <c r="F13" s="17">
        <v>42</v>
      </c>
      <c r="G13" s="17">
        <v>37</v>
      </c>
      <c r="H13" s="16">
        <f t="shared" si="0"/>
        <v>37.666666666666664</v>
      </c>
      <c r="I13" s="13">
        <f t="shared" si="1"/>
        <v>8</v>
      </c>
      <c r="J13" s="16">
        <f t="shared" si="2"/>
        <v>4.0414518843273806</v>
      </c>
    </row>
    <row r="15" spans="2:11" ht="7.5" customHeight="1" x14ac:dyDescent="0.3"/>
    <row r="16" spans="2:11" ht="19.5" customHeight="1" x14ac:dyDescent="0.3">
      <c r="B16" s="20" t="s">
        <v>49</v>
      </c>
      <c r="C16" s="20"/>
      <c r="D16" s="20"/>
      <c r="E16" s="20"/>
      <c r="F16" s="20"/>
      <c r="G16" s="20"/>
      <c r="H16" s="20"/>
      <c r="I16" s="20"/>
      <c r="J16" s="20"/>
    </row>
    <row r="17" spans="2:6" ht="26.4" x14ac:dyDescent="0.3">
      <c r="B17" s="4" t="s">
        <v>27</v>
      </c>
      <c r="C17" s="4" t="s">
        <v>5</v>
      </c>
      <c r="D17" s="4" t="s">
        <v>6</v>
      </c>
      <c r="E17" s="4" t="s">
        <v>7</v>
      </c>
      <c r="F17" s="4" t="s">
        <v>28</v>
      </c>
    </row>
    <row r="18" spans="2:6" ht="18" customHeight="1" x14ac:dyDescent="0.3">
      <c r="B18" s="2" t="s">
        <v>29</v>
      </c>
      <c r="C18" s="3">
        <f>IFERROR(AVERAGE(E4:E13),"")</f>
        <v>34.700000000000003</v>
      </c>
      <c r="D18" s="3">
        <f>IFERROR(AVERAGE(F4:F13),"")</f>
        <v>39.6</v>
      </c>
      <c r="E18" s="3">
        <f>IFERROR(AVERAGE(G4:G13),"")</f>
        <v>39.75</v>
      </c>
      <c r="F18" s="3">
        <f>IFERROR(AVERAGE(E4:G13),"")</f>
        <v>38.016666666666666</v>
      </c>
    </row>
    <row r="19" spans="2:6" ht="18" customHeight="1" x14ac:dyDescent="0.3">
      <c r="B19" s="2" t="s">
        <v>30</v>
      </c>
      <c r="C19" s="3">
        <f>IFERROR(STDEV(E4:E13),"")</f>
        <v>1.2952906151816965</v>
      </c>
      <c r="D19" s="3">
        <f>IFERROR(STDEV(F4:F13),"")</f>
        <v>1.6295875415440424</v>
      </c>
      <c r="E19" s="3">
        <f>IFERROR(STDEV(G4:G13),"")</f>
        <v>2.0172864061517006</v>
      </c>
      <c r="F19" s="3">
        <f>IFERROR(STDEV(E4:G13),"")</f>
        <v>2.8812214044757463</v>
      </c>
    </row>
    <row r="20" spans="2:6" ht="18" customHeight="1" x14ac:dyDescent="0.3">
      <c r="B20" s="2" t="s">
        <v>31</v>
      </c>
      <c r="C20" s="3">
        <f>IFERROR(MIN(E4:E13),"")</f>
        <v>33.5</v>
      </c>
      <c r="D20" s="3">
        <f>IFERROR(MIN(F4:F13),"")</f>
        <v>38</v>
      </c>
      <c r="E20" s="3">
        <f>IFERROR(MIN(G4:G13),"")</f>
        <v>37</v>
      </c>
      <c r="F20" s="3">
        <f>IFERROR(MIN(E4:G13),"")</f>
        <v>33.5</v>
      </c>
    </row>
    <row r="21" spans="2:6" ht="18" customHeight="1" x14ac:dyDescent="0.3">
      <c r="B21" s="2" t="s">
        <v>32</v>
      </c>
      <c r="C21" s="3">
        <f>IFERROR(MAX(E4:E13),"")</f>
        <v>37</v>
      </c>
      <c r="D21" s="3">
        <f>IFERROR(MAX(F4:F13),"")</f>
        <v>42</v>
      </c>
      <c r="E21" s="3">
        <f>IFERROR(MAX(G4:G13),"")</f>
        <v>42</v>
      </c>
      <c r="F21" s="3">
        <f>IFERROR(MAX(E4:G13),"")</f>
        <v>42</v>
      </c>
    </row>
    <row r="22" spans="2:6" ht="18" customHeight="1" x14ac:dyDescent="0.3">
      <c r="B22" s="2" t="s">
        <v>33</v>
      </c>
      <c r="C22" s="3">
        <f>IFERROR(COUNT(E4:E13),"")</f>
        <v>10</v>
      </c>
      <c r="D22" s="3">
        <f>IFERROR(COUNT(F4:F13),"")</f>
        <v>10</v>
      </c>
      <c r="E22" s="3">
        <f>IFERROR(COUNT(G4:G13),"")</f>
        <v>10</v>
      </c>
      <c r="F22" s="3">
        <f>IFERROR(COUNT(E4:G13),"")</f>
        <v>30</v>
      </c>
    </row>
  </sheetData>
  <mergeCells count="3">
    <mergeCell ref="B1:K1"/>
    <mergeCell ref="C2:F2"/>
    <mergeCell ref="B16:J16"/>
  </mergeCells>
  <conditionalFormatting sqref="E4:G13">
    <cfRule type="colorScale" priority="1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926D-99DE-405F-B87F-F23D8D56D71F}">
  <sheetPr codeName="Sheet9">
    <pageSetUpPr autoPageBreaks="0"/>
  </sheetPr>
  <dimension ref="A1:K22"/>
  <sheetViews>
    <sheetView showGridLines="0" zoomScaleNormal="100" workbookViewId="0">
      <selection activeCell="M16" sqref="M16"/>
    </sheetView>
  </sheetViews>
  <sheetFormatPr defaultColWidth="8.6640625" defaultRowHeight="14.4" x14ac:dyDescent="0.3"/>
  <cols>
    <col min="1" max="1" width="5" style="1" customWidth="1"/>
    <col min="2" max="2" width="10.5546875" style="1" bestFit="1" customWidth="1"/>
    <col min="3" max="3" width="15.77734375" style="1" customWidth="1"/>
    <col min="4" max="4" width="16.88671875" style="1" customWidth="1"/>
    <col min="5" max="5" width="12.88671875" style="1" bestFit="1" customWidth="1"/>
    <col min="6" max="6" width="14.44140625" style="1" customWidth="1"/>
    <col min="7" max="7" width="12.88671875" style="1" bestFit="1" customWidth="1"/>
    <col min="8" max="8" width="10.33203125" style="1" bestFit="1" customWidth="1"/>
    <col min="9" max="9" width="11.44140625" style="1" bestFit="1" customWidth="1"/>
    <col min="10" max="10" width="8.33203125" style="1" bestFit="1" customWidth="1"/>
    <col min="11" max="11" width="12.44140625" bestFit="1" customWidth="1"/>
  </cols>
  <sheetData>
    <row r="1" spans="2:11" ht="31.5" customHeight="1" x14ac:dyDescent="0.3">
      <c r="B1" s="22" t="s">
        <v>44</v>
      </c>
      <c r="C1" s="22"/>
      <c r="D1" s="22"/>
      <c r="E1" s="22"/>
      <c r="F1" s="22"/>
      <c r="G1" s="22"/>
      <c r="H1" s="22"/>
      <c r="I1" s="22"/>
      <c r="J1" s="22"/>
      <c r="K1" s="22"/>
    </row>
    <row r="2" spans="2:11" ht="18" customHeight="1" x14ac:dyDescent="0.3">
      <c r="B2" s="6" t="s">
        <v>9</v>
      </c>
      <c r="C2" s="19" t="s">
        <v>35</v>
      </c>
      <c r="D2" s="19"/>
      <c r="E2" s="19"/>
      <c r="F2" s="19"/>
      <c r="G2" s="6" t="s">
        <v>11</v>
      </c>
      <c r="H2" s="7" t="s">
        <v>47</v>
      </c>
      <c r="I2" s="7" t="s">
        <v>12</v>
      </c>
      <c r="J2" s="8"/>
      <c r="K2" s="5"/>
    </row>
    <row r="3" spans="2:11" ht="21.75" customHeight="1" x14ac:dyDescent="0.3"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1" t="s">
        <v>18</v>
      </c>
      <c r="H3" s="12" t="s">
        <v>19</v>
      </c>
      <c r="I3" s="12" t="s">
        <v>20</v>
      </c>
      <c r="J3" s="12" t="s">
        <v>21</v>
      </c>
    </row>
    <row r="4" spans="2:11" ht="18" customHeight="1" x14ac:dyDescent="0.3">
      <c r="B4" s="13">
        <v>1</v>
      </c>
      <c r="C4" s="14">
        <v>46124</v>
      </c>
      <c r="D4" s="13" t="s">
        <v>22</v>
      </c>
      <c r="E4" s="15">
        <v>14</v>
      </c>
      <c r="F4" s="15">
        <v>14</v>
      </c>
      <c r="G4" s="15">
        <v>16</v>
      </c>
      <c r="H4" s="16">
        <f t="shared" ref="H4:H13" si="0">IFERROR(AVERAGE(E4,F4,G4),"")</f>
        <v>14.666666666666666</v>
      </c>
      <c r="I4" s="13">
        <f t="shared" ref="I4:I13" si="1">IFERROR(MAX(E4,F4,G4)-MIN(E4,F4,G4),"")</f>
        <v>2</v>
      </c>
      <c r="J4" s="16">
        <f t="shared" ref="J4:J13" si="2">IFERROR(STDEV(E4,F4,G4),"")</f>
        <v>1.1547005383792517</v>
      </c>
    </row>
    <row r="5" spans="2:11" ht="18" customHeight="1" x14ac:dyDescent="0.3">
      <c r="B5" s="13">
        <v>2</v>
      </c>
      <c r="C5" s="14">
        <v>46125</v>
      </c>
      <c r="D5" s="13" t="s">
        <v>23</v>
      </c>
      <c r="E5" s="17">
        <v>14</v>
      </c>
      <c r="F5" s="17">
        <v>15</v>
      </c>
      <c r="G5" s="17">
        <v>17</v>
      </c>
      <c r="H5" s="16">
        <f t="shared" si="0"/>
        <v>15.333333333333334</v>
      </c>
      <c r="I5" s="13">
        <f t="shared" si="1"/>
        <v>3</v>
      </c>
      <c r="J5" s="16">
        <f t="shared" si="2"/>
        <v>1.5275252316519468</v>
      </c>
    </row>
    <row r="6" spans="2:11" ht="18" customHeight="1" x14ac:dyDescent="0.3">
      <c r="B6" s="13">
        <v>3</v>
      </c>
      <c r="C6" s="14">
        <v>46126</v>
      </c>
      <c r="D6" s="13" t="s">
        <v>24</v>
      </c>
      <c r="E6" s="15">
        <v>13</v>
      </c>
      <c r="F6" s="15">
        <v>14</v>
      </c>
      <c r="G6" s="15">
        <v>17</v>
      </c>
      <c r="H6" s="16">
        <f t="shared" si="0"/>
        <v>14.666666666666666</v>
      </c>
      <c r="I6" s="13">
        <f t="shared" si="1"/>
        <v>4</v>
      </c>
      <c r="J6" s="16">
        <f t="shared" si="2"/>
        <v>2.0816659994661282</v>
      </c>
    </row>
    <row r="7" spans="2:11" ht="18" customHeight="1" x14ac:dyDescent="0.3">
      <c r="B7" s="13">
        <v>4</v>
      </c>
      <c r="C7" s="14">
        <v>46127</v>
      </c>
      <c r="D7" s="13" t="s">
        <v>25</v>
      </c>
      <c r="E7" s="17">
        <v>13</v>
      </c>
      <c r="F7" s="17">
        <v>14</v>
      </c>
      <c r="G7" s="17">
        <v>17</v>
      </c>
      <c r="H7" s="16">
        <f t="shared" si="0"/>
        <v>14.666666666666666</v>
      </c>
      <c r="I7" s="13">
        <f t="shared" si="1"/>
        <v>4</v>
      </c>
      <c r="J7" s="16">
        <f t="shared" si="2"/>
        <v>2.0816659994661282</v>
      </c>
    </row>
    <row r="8" spans="2:11" ht="18" customHeight="1" x14ac:dyDescent="0.3">
      <c r="B8" s="13">
        <v>5</v>
      </c>
      <c r="C8" s="14">
        <v>46128</v>
      </c>
      <c r="D8" s="13" t="s">
        <v>26</v>
      </c>
      <c r="E8" s="15">
        <v>14</v>
      </c>
      <c r="F8" s="15">
        <v>14</v>
      </c>
      <c r="G8" s="15">
        <v>17</v>
      </c>
      <c r="H8" s="16">
        <f t="shared" si="0"/>
        <v>15</v>
      </c>
      <c r="I8" s="13">
        <f t="shared" si="1"/>
        <v>3</v>
      </c>
      <c r="J8" s="16">
        <f t="shared" si="2"/>
        <v>1.7320508075688772</v>
      </c>
    </row>
    <row r="9" spans="2:11" ht="18" customHeight="1" x14ac:dyDescent="0.3">
      <c r="B9" s="13">
        <v>6</v>
      </c>
      <c r="C9" s="14">
        <v>46131</v>
      </c>
      <c r="D9" s="13" t="s">
        <v>22</v>
      </c>
      <c r="E9" s="17">
        <v>14</v>
      </c>
      <c r="F9" s="17">
        <v>14</v>
      </c>
      <c r="G9" s="17">
        <v>16</v>
      </c>
      <c r="H9" s="16">
        <f t="shared" si="0"/>
        <v>14.666666666666666</v>
      </c>
      <c r="I9" s="13">
        <f t="shared" si="1"/>
        <v>2</v>
      </c>
      <c r="J9" s="16">
        <f t="shared" si="2"/>
        <v>1.1547005383792517</v>
      </c>
    </row>
    <row r="10" spans="2:11" ht="18" customHeight="1" x14ac:dyDescent="0.3">
      <c r="B10" s="13">
        <v>7</v>
      </c>
      <c r="C10" s="14">
        <v>46132</v>
      </c>
      <c r="D10" s="13" t="s">
        <v>23</v>
      </c>
      <c r="E10" s="15">
        <v>14</v>
      </c>
      <c r="F10" s="15">
        <v>15</v>
      </c>
      <c r="G10" s="15">
        <v>17</v>
      </c>
      <c r="H10" s="16">
        <f t="shared" si="0"/>
        <v>15.333333333333334</v>
      </c>
      <c r="I10" s="13">
        <f t="shared" si="1"/>
        <v>3</v>
      </c>
      <c r="J10" s="16">
        <f t="shared" si="2"/>
        <v>1.5275252316519468</v>
      </c>
    </row>
    <row r="11" spans="2:11" ht="18" customHeight="1" x14ac:dyDescent="0.3">
      <c r="B11" s="13">
        <v>8</v>
      </c>
      <c r="C11" s="14">
        <v>46133</v>
      </c>
      <c r="D11" s="13" t="s">
        <v>24</v>
      </c>
      <c r="E11" s="17">
        <v>13</v>
      </c>
      <c r="F11" s="17">
        <v>14</v>
      </c>
      <c r="G11" s="17">
        <v>17</v>
      </c>
      <c r="H11" s="16">
        <f t="shared" si="0"/>
        <v>14.666666666666666</v>
      </c>
      <c r="I11" s="13">
        <f t="shared" si="1"/>
        <v>4</v>
      </c>
      <c r="J11" s="16">
        <f t="shared" si="2"/>
        <v>2.0816659994661282</v>
      </c>
    </row>
    <row r="12" spans="2:11" ht="18" customHeight="1" x14ac:dyDescent="0.3">
      <c r="B12" s="13">
        <v>9</v>
      </c>
      <c r="C12" s="14">
        <v>46134</v>
      </c>
      <c r="D12" s="13" t="s">
        <v>25</v>
      </c>
      <c r="E12" s="15">
        <v>13</v>
      </c>
      <c r="F12" s="15">
        <v>14</v>
      </c>
      <c r="G12" s="15">
        <v>17</v>
      </c>
      <c r="H12" s="16">
        <f t="shared" si="0"/>
        <v>14.666666666666666</v>
      </c>
      <c r="I12" s="13">
        <f t="shared" si="1"/>
        <v>4</v>
      </c>
      <c r="J12" s="16">
        <f t="shared" si="2"/>
        <v>2.0816659994661282</v>
      </c>
    </row>
    <row r="13" spans="2:11" ht="18" customHeight="1" x14ac:dyDescent="0.3">
      <c r="B13" s="13">
        <v>10</v>
      </c>
      <c r="C13" s="14">
        <v>46135</v>
      </c>
      <c r="D13" s="13" t="s">
        <v>26</v>
      </c>
      <c r="E13" s="17">
        <v>14</v>
      </c>
      <c r="F13" s="17">
        <v>16</v>
      </c>
      <c r="G13" s="17">
        <v>18</v>
      </c>
      <c r="H13" s="16">
        <f t="shared" si="0"/>
        <v>16</v>
      </c>
      <c r="I13" s="13">
        <f t="shared" si="1"/>
        <v>4</v>
      </c>
      <c r="J13" s="16">
        <f t="shared" si="2"/>
        <v>2</v>
      </c>
    </row>
    <row r="15" spans="2:11" ht="7.5" customHeight="1" x14ac:dyDescent="0.3"/>
    <row r="16" spans="2:11" ht="19.5" customHeight="1" x14ac:dyDescent="0.3">
      <c r="B16" s="20" t="s">
        <v>49</v>
      </c>
      <c r="C16" s="20"/>
      <c r="D16" s="20"/>
      <c r="E16" s="20"/>
      <c r="F16" s="20"/>
      <c r="G16" s="20"/>
      <c r="H16" s="20"/>
      <c r="I16" s="20"/>
      <c r="J16" s="20"/>
    </row>
    <row r="17" spans="2:6" ht="26.4" x14ac:dyDescent="0.3">
      <c r="B17" s="4" t="s">
        <v>27</v>
      </c>
      <c r="C17" s="4" t="s">
        <v>5</v>
      </c>
      <c r="D17" s="4" t="s">
        <v>6</v>
      </c>
      <c r="E17" s="4" t="s">
        <v>7</v>
      </c>
      <c r="F17" s="4" t="s">
        <v>28</v>
      </c>
    </row>
    <row r="18" spans="2:6" ht="18" customHeight="1" x14ac:dyDescent="0.3">
      <c r="B18" s="2" t="s">
        <v>29</v>
      </c>
      <c r="C18" s="3">
        <f>IFERROR(AVERAGE(E4:E13),"")</f>
        <v>13.6</v>
      </c>
      <c r="D18" s="3">
        <f>IFERROR(AVERAGE(F4:F13),"")</f>
        <v>14.4</v>
      </c>
      <c r="E18" s="3">
        <f>IFERROR(AVERAGE(G4:G13),"")</f>
        <v>16.899999999999999</v>
      </c>
      <c r="F18" s="3">
        <f>IFERROR(AVERAGE(E4:G13),"")</f>
        <v>14.966666666666667</v>
      </c>
    </row>
    <row r="19" spans="2:6" ht="18" customHeight="1" x14ac:dyDescent="0.3">
      <c r="B19" s="2" t="s">
        <v>30</v>
      </c>
      <c r="C19" s="3">
        <f>IFERROR(STDEV(E4:E13),"")</f>
        <v>0.51639777949432231</v>
      </c>
      <c r="D19" s="3">
        <f>IFERROR(STDEV(F4:F13),"")</f>
        <v>0.69920589878010109</v>
      </c>
      <c r="E19" s="3">
        <f>IFERROR(STDEV(G4:G13),"")</f>
        <v>0.56764621219754663</v>
      </c>
      <c r="F19" s="3">
        <f>IFERROR(STDEV(E4:G13),"")</f>
        <v>1.5421286974634172</v>
      </c>
    </row>
    <row r="20" spans="2:6" ht="18" customHeight="1" x14ac:dyDescent="0.3">
      <c r="B20" s="2" t="s">
        <v>31</v>
      </c>
      <c r="C20" s="3">
        <f>IFERROR(MIN(E4:E13),"")</f>
        <v>13</v>
      </c>
      <c r="D20" s="3">
        <f>IFERROR(MIN(F4:F13),"")</f>
        <v>14</v>
      </c>
      <c r="E20" s="3">
        <f>IFERROR(MIN(G4:G13),"")</f>
        <v>16</v>
      </c>
      <c r="F20" s="3">
        <f>IFERROR(MIN(E4:G13),"")</f>
        <v>13</v>
      </c>
    </row>
    <row r="21" spans="2:6" ht="18" customHeight="1" x14ac:dyDescent="0.3">
      <c r="B21" s="2" t="s">
        <v>32</v>
      </c>
      <c r="C21" s="3">
        <f>IFERROR(MAX(E4:E13),"")</f>
        <v>14</v>
      </c>
      <c r="D21" s="3">
        <f>IFERROR(MAX(F4:F13),"")</f>
        <v>16</v>
      </c>
      <c r="E21" s="3">
        <f>IFERROR(MAX(G4:G13),"")</f>
        <v>18</v>
      </c>
      <c r="F21" s="3">
        <f>IFERROR(MAX(E4:G13),"")</f>
        <v>18</v>
      </c>
    </row>
    <row r="22" spans="2:6" ht="18" customHeight="1" x14ac:dyDescent="0.3">
      <c r="B22" s="2" t="s">
        <v>33</v>
      </c>
      <c r="C22" s="3">
        <f>IFERROR(COUNT(E4:E13),"")</f>
        <v>10</v>
      </c>
      <c r="D22" s="3">
        <f>IFERROR(COUNT(F4:F13),"")</f>
        <v>10</v>
      </c>
      <c r="E22" s="3">
        <f>IFERROR(COUNT(G4:G13),"")</f>
        <v>10</v>
      </c>
      <c r="F22" s="3">
        <f>IFERROR(COUNT(E4:G13),"")</f>
        <v>30</v>
      </c>
    </row>
  </sheetData>
  <mergeCells count="3">
    <mergeCell ref="B1:K1"/>
    <mergeCell ref="C2:F2"/>
    <mergeCell ref="B16:J16"/>
  </mergeCells>
  <conditionalFormatting sqref="E4:G13">
    <cfRule type="colorScale" priority="1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2901-BEC5-4948-9CD2-1280CACD3B55}">
  <sheetPr codeName="Sheet10">
    <pageSetUpPr autoPageBreaks="0"/>
  </sheetPr>
  <dimension ref="A1:K22"/>
  <sheetViews>
    <sheetView showGridLines="0" zoomScaleNormal="100" workbookViewId="0">
      <selection activeCell="A17" sqref="A17:XFD17"/>
    </sheetView>
  </sheetViews>
  <sheetFormatPr defaultColWidth="8.6640625" defaultRowHeight="14.4" x14ac:dyDescent="0.3"/>
  <cols>
    <col min="1" max="1" width="5" style="1" customWidth="1"/>
    <col min="2" max="2" width="10.5546875" style="1" bestFit="1" customWidth="1"/>
    <col min="3" max="3" width="15.77734375" style="1" customWidth="1"/>
    <col min="4" max="4" width="16.88671875" style="1" customWidth="1"/>
    <col min="5" max="5" width="12.88671875" style="1" bestFit="1" customWidth="1"/>
    <col min="6" max="6" width="12.6640625" style="1" customWidth="1"/>
    <col min="7" max="7" width="12.88671875" style="1" bestFit="1" customWidth="1"/>
    <col min="8" max="8" width="10.33203125" style="1" bestFit="1" customWidth="1"/>
    <col min="9" max="9" width="11.44140625" style="1" bestFit="1" customWidth="1"/>
    <col min="10" max="10" width="8.33203125" style="1" bestFit="1" customWidth="1"/>
    <col min="11" max="11" width="12.44140625" bestFit="1" customWidth="1"/>
  </cols>
  <sheetData>
    <row r="1" spans="2:11" ht="31.5" customHeight="1" x14ac:dyDescent="0.3">
      <c r="B1" s="21" t="s">
        <v>45</v>
      </c>
      <c r="C1" s="21"/>
      <c r="D1" s="21"/>
      <c r="E1" s="21"/>
      <c r="F1" s="21"/>
      <c r="G1" s="21"/>
      <c r="H1" s="21"/>
      <c r="I1" s="21"/>
      <c r="J1" s="21"/>
      <c r="K1" s="21"/>
    </row>
    <row r="2" spans="2:11" ht="18" customHeight="1" x14ac:dyDescent="0.3">
      <c r="B2" s="6" t="s">
        <v>9</v>
      </c>
      <c r="C2" s="19" t="s">
        <v>36</v>
      </c>
      <c r="D2" s="19"/>
      <c r="E2" s="19"/>
      <c r="F2" s="19"/>
      <c r="G2" s="6" t="s">
        <v>11</v>
      </c>
      <c r="H2" s="7" t="s">
        <v>48</v>
      </c>
      <c r="I2" s="7" t="s">
        <v>12</v>
      </c>
      <c r="J2" s="8"/>
      <c r="K2" s="5"/>
    </row>
    <row r="3" spans="2:11" ht="26.4" x14ac:dyDescent="0.3">
      <c r="B3" s="9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1" t="s">
        <v>18</v>
      </c>
      <c r="H3" s="12" t="s">
        <v>19</v>
      </c>
      <c r="I3" s="12" t="s">
        <v>20</v>
      </c>
      <c r="J3" s="12" t="s">
        <v>21</v>
      </c>
    </row>
    <row r="4" spans="2:11" ht="18" customHeight="1" x14ac:dyDescent="0.3">
      <c r="B4" s="13">
        <v>1</v>
      </c>
      <c r="C4" s="14">
        <v>46124</v>
      </c>
      <c r="D4" s="13" t="s">
        <v>22</v>
      </c>
      <c r="E4" s="15">
        <v>16</v>
      </c>
      <c r="F4" s="15">
        <v>19</v>
      </c>
      <c r="G4" s="15">
        <v>19</v>
      </c>
      <c r="H4" s="16">
        <f t="shared" ref="H4:H13" si="0">IFERROR(AVERAGE(E4,F4,G4),"")</f>
        <v>18</v>
      </c>
      <c r="I4" s="13">
        <f t="shared" ref="I4:I13" si="1">IFERROR(MAX(E4,F4,G4)-MIN(E4,F4,G4),"")</f>
        <v>3</v>
      </c>
      <c r="J4" s="16">
        <f t="shared" ref="J4:J13" si="2">IFERROR(STDEV(E4,F4,G4),"")</f>
        <v>1.7320508075688772</v>
      </c>
    </row>
    <row r="5" spans="2:11" ht="18" customHeight="1" x14ac:dyDescent="0.3">
      <c r="B5" s="13">
        <v>2</v>
      </c>
      <c r="C5" s="14">
        <v>46125</v>
      </c>
      <c r="D5" s="13" t="s">
        <v>23</v>
      </c>
      <c r="E5" s="17">
        <v>16</v>
      </c>
      <c r="F5" s="17">
        <v>18</v>
      </c>
      <c r="G5" s="17">
        <v>20</v>
      </c>
      <c r="H5" s="16">
        <f t="shared" si="0"/>
        <v>18</v>
      </c>
      <c r="I5" s="13">
        <f t="shared" si="1"/>
        <v>4</v>
      </c>
      <c r="J5" s="16">
        <f t="shared" si="2"/>
        <v>2</v>
      </c>
    </row>
    <row r="6" spans="2:11" ht="18" customHeight="1" x14ac:dyDescent="0.3">
      <c r="B6" s="13">
        <v>3</v>
      </c>
      <c r="C6" s="14">
        <v>46126</v>
      </c>
      <c r="D6" s="13" t="s">
        <v>24</v>
      </c>
      <c r="E6" s="15">
        <v>16</v>
      </c>
      <c r="F6" s="15">
        <v>18</v>
      </c>
      <c r="G6" s="15">
        <v>19</v>
      </c>
      <c r="H6" s="16">
        <f t="shared" si="0"/>
        <v>17.666666666666668</v>
      </c>
      <c r="I6" s="13">
        <f t="shared" si="1"/>
        <v>3</v>
      </c>
      <c r="J6" s="16">
        <f t="shared" si="2"/>
        <v>1.5275252316519465</v>
      </c>
    </row>
    <row r="7" spans="2:11" ht="18" customHeight="1" x14ac:dyDescent="0.3">
      <c r="B7" s="13">
        <v>4</v>
      </c>
      <c r="C7" s="14">
        <v>46127</v>
      </c>
      <c r="D7" s="13" t="s">
        <v>25</v>
      </c>
      <c r="E7" s="17">
        <v>14</v>
      </c>
      <c r="F7" s="17">
        <v>18</v>
      </c>
      <c r="G7" s="17">
        <v>19</v>
      </c>
      <c r="H7" s="16">
        <f t="shared" si="0"/>
        <v>17</v>
      </c>
      <c r="I7" s="13">
        <f t="shared" si="1"/>
        <v>5</v>
      </c>
      <c r="J7" s="16">
        <f t="shared" si="2"/>
        <v>2.6457513110645907</v>
      </c>
    </row>
    <row r="8" spans="2:11" ht="18" customHeight="1" x14ac:dyDescent="0.3">
      <c r="B8" s="13">
        <v>5</v>
      </c>
      <c r="C8" s="14">
        <v>46128</v>
      </c>
      <c r="D8" s="13" t="s">
        <v>26</v>
      </c>
      <c r="E8" s="15">
        <v>16</v>
      </c>
      <c r="F8" s="15">
        <v>18</v>
      </c>
      <c r="G8" s="15">
        <v>19</v>
      </c>
      <c r="H8" s="16">
        <f t="shared" si="0"/>
        <v>17.666666666666668</v>
      </c>
      <c r="I8" s="13">
        <f t="shared" si="1"/>
        <v>3</v>
      </c>
      <c r="J8" s="16">
        <f t="shared" si="2"/>
        <v>1.5275252316519465</v>
      </c>
    </row>
    <row r="9" spans="2:11" ht="18" customHeight="1" x14ac:dyDescent="0.3">
      <c r="B9" s="13">
        <v>6</v>
      </c>
      <c r="C9" s="14">
        <v>46131</v>
      </c>
      <c r="D9" s="13" t="s">
        <v>22</v>
      </c>
      <c r="E9" s="17">
        <v>17</v>
      </c>
      <c r="F9" s="17">
        <v>19</v>
      </c>
      <c r="G9" s="17">
        <v>19</v>
      </c>
      <c r="H9" s="16">
        <f t="shared" si="0"/>
        <v>18.333333333333332</v>
      </c>
      <c r="I9" s="13">
        <f t="shared" si="1"/>
        <v>2</v>
      </c>
      <c r="J9" s="16">
        <f t="shared" si="2"/>
        <v>1.1547005383792515</v>
      </c>
    </row>
    <row r="10" spans="2:11" ht="18" customHeight="1" x14ac:dyDescent="0.3">
      <c r="B10" s="13">
        <v>7</v>
      </c>
      <c r="C10" s="14">
        <v>46132</v>
      </c>
      <c r="D10" s="13" t="s">
        <v>23</v>
      </c>
      <c r="E10" s="15">
        <v>16</v>
      </c>
      <c r="F10" s="15">
        <v>17</v>
      </c>
      <c r="G10" s="15">
        <v>20</v>
      </c>
      <c r="H10" s="16">
        <f t="shared" si="0"/>
        <v>17.666666666666668</v>
      </c>
      <c r="I10" s="13">
        <f t="shared" si="1"/>
        <v>4</v>
      </c>
      <c r="J10" s="16">
        <f t="shared" si="2"/>
        <v>2.0816659994661331</v>
      </c>
    </row>
    <row r="11" spans="2:11" ht="18" customHeight="1" x14ac:dyDescent="0.3">
      <c r="B11" s="13">
        <v>8</v>
      </c>
      <c r="C11" s="14">
        <v>46133</v>
      </c>
      <c r="D11" s="13" t="s">
        <v>24</v>
      </c>
      <c r="E11" s="17">
        <v>17</v>
      </c>
      <c r="F11" s="17">
        <v>18</v>
      </c>
      <c r="G11" s="17">
        <v>19</v>
      </c>
      <c r="H11" s="16">
        <f t="shared" si="0"/>
        <v>18</v>
      </c>
      <c r="I11" s="13">
        <f t="shared" si="1"/>
        <v>2</v>
      </c>
      <c r="J11" s="16">
        <f t="shared" si="2"/>
        <v>1</v>
      </c>
    </row>
    <row r="12" spans="2:11" ht="18" customHeight="1" x14ac:dyDescent="0.3">
      <c r="B12" s="13">
        <v>9</v>
      </c>
      <c r="C12" s="14">
        <v>46134</v>
      </c>
      <c r="D12" s="13" t="s">
        <v>25</v>
      </c>
      <c r="E12" s="15">
        <v>16</v>
      </c>
      <c r="F12" s="15">
        <v>18</v>
      </c>
      <c r="G12" s="15">
        <v>19</v>
      </c>
      <c r="H12" s="16">
        <f t="shared" si="0"/>
        <v>17.666666666666668</v>
      </c>
      <c r="I12" s="13">
        <f t="shared" si="1"/>
        <v>3</v>
      </c>
      <c r="J12" s="16">
        <f t="shared" si="2"/>
        <v>1.5275252316519465</v>
      </c>
    </row>
    <row r="13" spans="2:11" ht="18" customHeight="1" x14ac:dyDescent="0.3">
      <c r="B13" s="13">
        <v>10</v>
      </c>
      <c r="C13" s="14">
        <v>46135</v>
      </c>
      <c r="D13" s="13" t="s">
        <v>26</v>
      </c>
      <c r="E13" s="17">
        <v>16</v>
      </c>
      <c r="F13" s="17">
        <v>18</v>
      </c>
      <c r="G13" s="17">
        <v>19</v>
      </c>
      <c r="H13" s="16">
        <f t="shared" si="0"/>
        <v>17.666666666666668</v>
      </c>
      <c r="I13" s="13">
        <f t="shared" si="1"/>
        <v>3</v>
      </c>
      <c r="J13" s="16">
        <f t="shared" si="2"/>
        <v>1.5275252316519465</v>
      </c>
    </row>
    <row r="15" spans="2:11" ht="7.5" customHeight="1" x14ac:dyDescent="0.3"/>
    <row r="16" spans="2:11" x14ac:dyDescent="0.3">
      <c r="B16" s="20" t="s">
        <v>49</v>
      </c>
      <c r="C16" s="20"/>
      <c r="D16" s="20"/>
      <c r="E16" s="20"/>
      <c r="F16" s="20"/>
      <c r="G16" s="20"/>
      <c r="H16" s="20"/>
      <c r="I16" s="20"/>
      <c r="J16" s="20"/>
    </row>
    <row r="17" spans="2:6" ht="26.4" x14ac:dyDescent="0.3">
      <c r="B17" s="4" t="s">
        <v>27</v>
      </c>
      <c r="C17" s="4" t="s">
        <v>5</v>
      </c>
      <c r="D17" s="4" t="s">
        <v>6</v>
      </c>
      <c r="E17" s="4" t="s">
        <v>7</v>
      </c>
      <c r="F17" s="4" t="s">
        <v>28</v>
      </c>
    </row>
    <row r="18" spans="2:6" ht="18" customHeight="1" x14ac:dyDescent="0.3">
      <c r="B18" s="2" t="s">
        <v>29</v>
      </c>
      <c r="C18" s="3">
        <f>IFERROR(AVERAGE(E4:E13),"")</f>
        <v>16</v>
      </c>
      <c r="D18" s="3">
        <f>IFERROR(AVERAGE(F4:F13),"")</f>
        <v>18.100000000000001</v>
      </c>
      <c r="E18" s="3">
        <f>IFERROR(AVERAGE(G4:G13),"")</f>
        <v>19.2</v>
      </c>
      <c r="F18" s="3">
        <f>IFERROR(AVERAGE(E4:G13),"")</f>
        <v>17.766666666666666</v>
      </c>
    </row>
    <row r="19" spans="2:6" ht="18" customHeight="1" x14ac:dyDescent="0.3">
      <c r="B19" s="2" t="s">
        <v>30</v>
      </c>
      <c r="C19" s="3">
        <f>IFERROR(STDEV(E4:E13),"")</f>
        <v>0.81649658092772603</v>
      </c>
      <c r="D19" s="3">
        <f>IFERROR(STDEV(F4:F13),"")</f>
        <v>0.56764621219754663</v>
      </c>
      <c r="E19" s="3">
        <f>IFERROR(STDEV(G4:G13),"")</f>
        <v>0.42163702135578396</v>
      </c>
      <c r="F19" s="3">
        <f>IFERROR(STDEV(E4:G13),"")</f>
        <v>1.4781939897267768</v>
      </c>
    </row>
    <row r="20" spans="2:6" ht="18" customHeight="1" x14ac:dyDescent="0.3">
      <c r="B20" s="2" t="s">
        <v>31</v>
      </c>
      <c r="C20" s="3">
        <f>IFERROR(MIN(E4:E13),"")</f>
        <v>14</v>
      </c>
      <c r="D20" s="3">
        <f>IFERROR(MIN(F4:F13),"")</f>
        <v>17</v>
      </c>
      <c r="E20" s="3">
        <f>IFERROR(MIN(G4:G13),"")</f>
        <v>19</v>
      </c>
      <c r="F20" s="3">
        <f>IFERROR(MIN(E4:G13),"")</f>
        <v>14</v>
      </c>
    </row>
    <row r="21" spans="2:6" ht="18" customHeight="1" x14ac:dyDescent="0.3">
      <c r="B21" s="2" t="s">
        <v>32</v>
      </c>
      <c r="C21" s="3">
        <f>IFERROR(MAX(E4:E13),"")</f>
        <v>17</v>
      </c>
      <c r="D21" s="3">
        <f>IFERROR(MAX(F4:F13),"")</f>
        <v>19</v>
      </c>
      <c r="E21" s="3">
        <f>IFERROR(MAX(G4:G13),"")</f>
        <v>20</v>
      </c>
      <c r="F21" s="3">
        <f>IFERROR(MAX(E4:G13),"")</f>
        <v>20</v>
      </c>
    </row>
    <row r="22" spans="2:6" ht="18" customHeight="1" x14ac:dyDescent="0.3">
      <c r="B22" s="2" t="s">
        <v>33</v>
      </c>
      <c r="C22" s="3">
        <f>IFERROR(COUNT(E4:E13),"")</f>
        <v>10</v>
      </c>
      <c r="D22" s="3">
        <f>IFERROR(COUNT(F4:F13),"")</f>
        <v>10</v>
      </c>
      <c r="E22" s="3">
        <f>IFERROR(COUNT(G4:G13),"")</f>
        <v>10</v>
      </c>
      <c r="F22" s="3">
        <f>IFERROR(COUNT(E4:G13),"")</f>
        <v>30</v>
      </c>
    </row>
  </sheetData>
  <mergeCells count="3">
    <mergeCell ref="B1:K1"/>
    <mergeCell ref="C2:F2"/>
    <mergeCell ref="B16:J16"/>
  </mergeCells>
  <conditionalFormatting sqref="E4:G13">
    <cfRule type="colorScale" priority="1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2EB1-A00F-4BE1-9BD7-7B62D9DCFBB5}">
  <dimension ref="B2:G52"/>
  <sheetViews>
    <sheetView zoomScaleNormal="100" workbookViewId="0">
      <selection activeCell="L7" sqref="L7"/>
    </sheetView>
  </sheetViews>
  <sheetFormatPr defaultRowHeight="14.4" x14ac:dyDescent="0.3"/>
  <cols>
    <col min="2" max="2" width="8.88671875" customWidth="1"/>
    <col min="3" max="3" width="17" customWidth="1"/>
    <col min="4" max="4" width="15.6640625" customWidth="1"/>
    <col min="5" max="7" width="14.5546875" customWidth="1"/>
  </cols>
  <sheetData>
    <row r="2" spans="2:7" x14ac:dyDescent="0.3">
      <c r="B2" s="23" t="s">
        <v>37</v>
      </c>
      <c r="C2" s="25" t="s">
        <v>14</v>
      </c>
      <c r="D2" s="25" t="s">
        <v>15</v>
      </c>
      <c r="E2" s="26" t="s">
        <v>16</v>
      </c>
      <c r="F2" s="25" t="s">
        <v>17</v>
      </c>
      <c r="G2" s="26" t="s">
        <v>18</v>
      </c>
    </row>
    <row r="3" spans="2:7" x14ac:dyDescent="0.3">
      <c r="B3" s="24" t="s">
        <v>0</v>
      </c>
      <c r="C3" s="27">
        <v>46124</v>
      </c>
      <c r="D3" s="28" t="s">
        <v>22</v>
      </c>
      <c r="E3" s="29">
        <v>38</v>
      </c>
      <c r="F3" s="29">
        <v>45</v>
      </c>
      <c r="G3" s="29">
        <v>41.5</v>
      </c>
    </row>
    <row r="4" spans="2:7" x14ac:dyDescent="0.3">
      <c r="B4" s="24"/>
      <c r="C4" s="27">
        <v>46125</v>
      </c>
      <c r="D4" s="28" t="s">
        <v>23</v>
      </c>
      <c r="E4" s="30">
        <v>38</v>
      </c>
      <c r="F4" s="30">
        <v>47.5</v>
      </c>
      <c r="G4" s="30">
        <v>41.5</v>
      </c>
    </row>
    <row r="5" spans="2:7" x14ac:dyDescent="0.3">
      <c r="B5" s="24"/>
      <c r="C5" s="27">
        <v>46126</v>
      </c>
      <c r="D5" s="28" t="s">
        <v>24</v>
      </c>
      <c r="E5" s="29">
        <v>38</v>
      </c>
      <c r="F5" s="29">
        <v>45</v>
      </c>
      <c r="G5" s="29">
        <v>41.5</v>
      </c>
    </row>
    <row r="6" spans="2:7" x14ac:dyDescent="0.3">
      <c r="B6" s="24"/>
      <c r="C6" s="27">
        <v>46127</v>
      </c>
      <c r="D6" s="28" t="s">
        <v>25</v>
      </c>
      <c r="E6" s="30">
        <v>35.5</v>
      </c>
      <c r="F6" s="30">
        <v>42.5</v>
      </c>
      <c r="G6" s="30">
        <v>41.5</v>
      </c>
    </row>
    <row r="7" spans="2:7" x14ac:dyDescent="0.3">
      <c r="B7" s="24"/>
      <c r="C7" s="27">
        <v>46128</v>
      </c>
      <c r="D7" s="28" t="s">
        <v>26</v>
      </c>
      <c r="E7" s="29">
        <v>35.5</v>
      </c>
      <c r="F7" s="29">
        <v>42.5</v>
      </c>
      <c r="G7" s="29">
        <v>39</v>
      </c>
    </row>
    <row r="8" spans="2:7" x14ac:dyDescent="0.3">
      <c r="B8" s="24"/>
      <c r="C8" s="27">
        <v>46131</v>
      </c>
      <c r="D8" s="28" t="s">
        <v>22</v>
      </c>
      <c r="E8" s="30">
        <v>38</v>
      </c>
      <c r="F8" s="30">
        <v>45</v>
      </c>
      <c r="G8" s="30">
        <v>41.5</v>
      </c>
    </row>
    <row r="9" spans="2:7" x14ac:dyDescent="0.3">
      <c r="B9" s="24"/>
      <c r="C9" s="27">
        <v>46132</v>
      </c>
      <c r="D9" s="28" t="s">
        <v>23</v>
      </c>
      <c r="E9" s="29">
        <v>38</v>
      </c>
      <c r="F9" s="29">
        <v>47.5</v>
      </c>
      <c r="G9" s="29">
        <v>41.5</v>
      </c>
    </row>
    <row r="10" spans="2:7" x14ac:dyDescent="0.3">
      <c r="B10" s="24"/>
      <c r="C10" s="27">
        <v>46133</v>
      </c>
      <c r="D10" s="28" t="s">
        <v>24</v>
      </c>
      <c r="E10" s="30">
        <v>36</v>
      </c>
      <c r="F10" s="30">
        <v>45</v>
      </c>
      <c r="G10" s="30">
        <v>41.5</v>
      </c>
    </row>
    <row r="11" spans="2:7" x14ac:dyDescent="0.3">
      <c r="B11" s="24"/>
      <c r="C11" s="27">
        <v>46134</v>
      </c>
      <c r="D11" s="28" t="s">
        <v>25</v>
      </c>
      <c r="E11" s="29">
        <v>36</v>
      </c>
      <c r="F11" s="29">
        <v>42.5</v>
      </c>
      <c r="G11" s="29">
        <v>41.5</v>
      </c>
    </row>
    <row r="12" spans="2:7" x14ac:dyDescent="0.3">
      <c r="B12" s="24"/>
      <c r="C12" s="27">
        <v>46135</v>
      </c>
      <c r="D12" s="28" t="s">
        <v>26</v>
      </c>
      <c r="E12" s="30">
        <v>35.5</v>
      </c>
      <c r="F12" s="30">
        <v>42.5</v>
      </c>
      <c r="G12" s="30">
        <v>39</v>
      </c>
    </row>
    <row r="13" spans="2:7" x14ac:dyDescent="0.3">
      <c r="B13" s="24" t="s">
        <v>1</v>
      </c>
      <c r="C13" s="27">
        <v>46124</v>
      </c>
      <c r="D13" s="28" t="s">
        <v>22</v>
      </c>
      <c r="E13" s="29">
        <v>26</v>
      </c>
      <c r="F13" s="29">
        <v>26</v>
      </c>
      <c r="G13" s="29">
        <v>28</v>
      </c>
    </row>
    <row r="14" spans="2:7" x14ac:dyDescent="0.3">
      <c r="B14" s="24"/>
      <c r="C14" s="27">
        <v>46125</v>
      </c>
      <c r="D14" s="28" t="s">
        <v>23</v>
      </c>
      <c r="E14" s="30">
        <v>25.5</v>
      </c>
      <c r="F14" s="30">
        <v>28</v>
      </c>
      <c r="G14" s="30">
        <v>28</v>
      </c>
    </row>
    <row r="15" spans="2:7" x14ac:dyDescent="0.3">
      <c r="B15" s="24"/>
      <c r="C15" s="27">
        <v>46126</v>
      </c>
      <c r="D15" s="28" t="s">
        <v>24</v>
      </c>
      <c r="E15" s="29">
        <v>22</v>
      </c>
      <c r="F15" s="29">
        <v>26</v>
      </c>
      <c r="G15" s="29">
        <v>28</v>
      </c>
    </row>
    <row r="16" spans="2:7" x14ac:dyDescent="0.3">
      <c r="B16" s="24"/>
      <c r="C16" s="27">
        <v>46127</v>
      </c>
      <c r="D16" s="28" t="s">
        <v>25</v>
      </c>
      <c r="E16" s="30">
        <v>25.5</v>
      </c>
      <c r="F16" s="30">
        <v>26</v>
      </c>
      <c r="G16" s="30">
        <v>26</v>
      </c>
    </row>
    <row r="17" spans="2:7" x14ac:dyDescent="0.3">
      <c r="B17" s="24"/>
      <c r="C17" s="27">
        <v>46128</v>
      </c>
      <c r="D17" s="28" t="s">
        <v>26</v>
      </c>
      <c r="E17" s="29">
        <v>22</v>
      </c>
      <c r="F17" s="29">
        <v>26</v>
      </c>
      <c r="G17" s="29">
        <v>30</v>
      </c>
    </row>
    <row r="18" spans="2:7" x14ac:dyDescent="0.3">
      <c r="B18" s="24"/>
      <c r="C18" s="27">
        <v>46131</v>
      </c>
      <c r="D18" s="28" t="s">
        <v>22</v>
      </c>
      <c r="E18" s="30">
        <v>26</v>
      </c>
      <c r="F18" s="30">
        <v>26</v>
      </c>
      <c r="G18" s="30">
        <v>28</v>
      </c>
    </row>
    <row r="19" spans="2:7" x14ac:dyDescent="0.3">
      <c r="B19" s="24"/>
      <c r="C19" s="27">
        <v>46132</v>
      </c>
      <c r="D19" s="28" t="s">
        <v>23</v>
      </c>
      <c r="E19" s="29">
        <v>26</v>
      </c>
      <c r="F19" s="29">
        <v>28</v>
      </c>
      <c r="G19" s="29">
        <v>30</v>
      </c>
    </row>
    <row r="20" spans="2:7" x14ac:dyDescent="0.3">
      <c r="B20" s="24"/>
      <c r="C20" s="27">
        <v>46133</v>
      </c>
      <c r="D20" s="28" t="s">
        <v>24</v>
      </c>
      <c r="E20" s="30">
        <v>21</v>
      </c>
      <c r="F20" s="30">
        <v>26</v>
      </c>
      <c r="G20" s="30">
        <v>28</v>
      </c>
    </row>
    <row r="21" spans="2:7" x14ac:dyDescent="0.3">
      <c r="B21" s="24"/>
      <c r="C21" s="27">
        <v>46134</v>
      </c>
      <c r="D21" s="28" t="s">
        <v>25</v>
      </c>
      <c r="E21" s="29">
        <v>24.5</v>
      </c>
      <c r="F21" s="29">
        <v>26</v>
      </c>
      <c r="G21" s="29">
        <v>26</v>
      </c>
    </row>
    <row r="22" spans="2:7" x14ac:dyDescent="0.3">
      <c r="B22" s="24"/>
      <c r="C22" s="27">
        <v>46135</v>
      </c>
      <c r="D22" s="28" t="s">
        <v>26</v>
      </c>
      <c r="E22" s="30">
        <v>22</v>
      </c>
      <c r="F22" s="30">
        <v>26</v>
      </c>
      <c r="G22" s="30">
        <v>28</v>
      </c>
    </row>
    <row r="23" spans="2:7" x14ac:dyDescent="0.3">
      <c r="B23" s="24" t="s">
        <v>2</v>
      </c>
      <c r="C23" s="27">
        <v>46124</v>
      </c>
      <c r="D23" s="28" t="s">
        <v>22</v>
      </c>
      <c r="E23" s="29">
        <v>33.5</v>
      </c>
      <c r="F23" s="29">
        <v>38</v>
      </c>
      <c r="G23" s="29">
        <v>40.5</v>
      </c>
    </row>
    <row r="24" spans="2:7" x14ac:dyDescent="0.3">
      <c r="B24" s="24"/>
      <c r="C24" s="27">
        <v>46125</v>
      </c>
      <c r="D24" s="28" t="s">
        <v>23</v>
      </c>
      <c r="E24" s="30">
        <v>37</v>
      </c>
      <c r="F24" s="30">
        <v>41.5</v>
      </c>
      <c r="G24" s="30">
        <v>40.5</v>
      </c>
    </row>
    <row r="25" spans="2:7" x14ac:dyDescent="0.3">
      <c r="B25" s="24"/>
      <c r="C25" s="27">
        <v>46126</v>
      </c>
      <c r="D25" s="28" t="s">
        <v>24</v>
      </c>
      <c r="E25" s="29">
        <v>36</v>
      </c>
      <c r="F25" s="29">
        <v>38</v>
      </c>
      <c r="G25" s="29">
        <v>41</v>
      </c>
    </row>
    <row r="26" spans="2:7" x14ac:dyDescent="0.3">
      <c r="B26" s="24"/>
      <c r="C26" s="27">
        <v>46127</v>
      </c>
      <c r="D26" s="28" t="s">
        <v>25</v>
      </c>
      <c r="E26" s="30">
        <v>33.5</v>
      </c>
      <c r="F26" s="30">
        <v>40</v>
      </c>
      <c r="G26" s="30">
        <v>37</v>
      </c>
    </row>
    <row r="27" spans="2:7" x14ac:dyDescent="0.3">
      <c r="B27" s="24"/>
      <c r="C27" s="27">
        <v>46128</v>
      </c>
      <c r="D27" s="28" t="s">
        <v>26</v>
      </c>
      <c r="E27" s="29">
        <v>33.5</v>
      </c>
      <c r="F27" s="29">
        <v>38</v>
      </c>
      <c r="G27" s="29">
        <v>39.5</v>
      </c>
    </row>
    <row r="28" spans="2:7" x14ac:dyDescent="0.3">
      <c r="B28" s="24"/>
      <c r="C28" s="27">
        <v>46131</v>
      </c>
      <c r="D28" s="28" t="s">
        <v>22</v>
      </c>
      <c r="E28" s="30">
        <v>33.5</v>
      </c>
      <c r="F28" s="30">
        <v>38</v>
      </c>
      <c r="G28" s="30">
        <v>41.5</v>
      </c>
    </row>
    <row r="29" spans="2:7" x14ac:dyDescent="0.3">
      <c r="B29" s="24"/>
      <c r="C29" s="27">
        <v>46132</v>
      </c>
      <c r="D29" s="28" t="s">
        <v>23</v>
      </c>
      <c r="E29" s="29">
        <v>36</v>
      </c>
      <c r="F29" s="29">
        <v>41.5</v>
      </c>
      <c r="G29" s="29">
        <v>41.5</v>
      </c>
    </row>
    <row r="30" spans="2:7" x14ac:dyDescent="0.3">
      <c r="B30" s="24"/>
      <c r="C30" s="27">
        <v>46133</v>
      </c>
      <c r="D30" s="28" t="s">
        <v>24</v>
      </c>
      <c r="E30" s="30">
        <v>35</v>
      </c>
      <c r="F30" s="30">
        <v>39</v>
      </c>
      <c r="G30" s="30">
        <v>42</v>
      </c>
    </row>
    <row r="31" spans="2:7" x14ac:dyDescent="0.3">
      <c r="B31" s="24"/>
      <c r="C31" s="27">
        <v>46134</v>
      </c>
      <c r="D31" s="28" t="s">
        <v>25</v>
      </c>
      <c r="E31" s="29">
        <v>35</v>
      </c>
      <c r="F31" s="29">
        <v>40</v>
      </c>
      <c r="G31" s="29">
        <v>37</v>
      </c>
    </row>
    <row r="32" spans="2:7" x14ac:dyDescent="0.3">
      <c r="B32" s="24"/>
      <c r="C32" s="27">
        <v>46135</v>
      </c>
      <c r="D32" s="28" t="s">
        <v>26</v>
      </c>
      <c r="E32" s="30">
        <v>34</v>
      </c>
      <c r="F32" s="30">
        <v>42</v>
      </c>
      <c r="G32" s="30">
        <v>37</v>
      </c>
    </row>
    <row r="33" spans="2:7" x14ac:dyDescent="0.3">
      <c r="B33" s="24" t="s">
        <v>3</v>
      </c>
      <c r="C33" s="27">
        <v>46124</v>
      </c>
      <c r="D33" s="28" t="s">
        <v>22</v>
      </c>
      <c r="E33" s="29">
        <v>14</v>
      </c>
      <c r="F33" s="29">
        <v>14</v>
      </c>
      <c r="G33" s="29">
        <v>16</v>
      </c>
    </row>
    <row r="34" spans="2:7" x14ac:dyDescent="0.3">
      <c r="B34" s="24"/>
      <c r="C34" s="27">
        <v>46125</v>
      </c>
      <c r="D34" s="28" t="s">
        <v>23</v>
      </c>
      <c r="E34" s="30">
        <v>14</v>
      </c>
      <c r="F34" s="30">
        <v>15</v>
      </c>
      <c r="G34" s="30">
        <v>17</v>
      </c>
    </row>
    <row r="35" spans="2:7" x14ac:dyDescent="0.3">
      <c r="B35" s="24"/>
      <c r="C35" s="27">
        <v>46126</v>
      </c>
      <c r="D35" s="28" t="s">
        <v>24</v>
      </c>
      <c r="E35" s="29">
        <v>13</v>
      </c>
      <c r="F35" s="29">
        <v>14</v>
      </c>
      <c r="G35" s="29">
        <v>17</v>
      </c>
    </row>
    <row r="36" spans="2:7" x14ac:dyDescent="0.3">
      <c r="B36" s="24"/>
      <c r="C36" s="27">
        <v>46127</v>
      </c>
      <c r="D36" s="28" t="s">
        <v>25</v>
      </c>
      <c r="E36" s="30">
        <v>13</v>
      </c>
      <c r="F36" s="30">
        <v>14</v>
      </c>
      <c r="G36" s="30">
        <v>17</v>
      </c>
    </row>
    <row r="37" spans="2:7" x14ac:dyDescent="0.3">
      <c r="B37" s="24"/>
      <c r="C37" s="27">
        <v>46128</v>
      </c>
      <c r="D37" s="28" t="s">
        <v>26</v>
      </c>
      <c r="E37" s="29">
        <v>14</v>
      </c>
      <c r="F37" s="29">
        <v>14</v>
      </c>
      <c r="G37" s="29">
        <v>17</v>
      </c>
    </row>
    <row r="38" spans="2:7" x14ac:dyDescent="0.3">
      <c r="B38" s="24"/>
      <c r="C38" s="27">
        <v>46131</v>
      </c>
      <c r="D38" s="28" t="s">
        <v>22</v>
      </c>
      <c r="E38" s="30">
        <v>14</v>
      </c>
      <c r="F38" s="30">
        <v>14</v>
      </c>
      <c r="G38" s="30">
        <v>16</v>
      </c>
    </row>
    <row r="39" spans="2:7" x14ac:dyDescent="0.3">
      <c r="B39" s="24"/>
      <c r="C39" s="27">
        <v>46132</v>
      </c>
      <c r="D39" s="28" t="s">
        <v>23</v>
      </c>
      <c r="E39" s="29">
        <v>14</v>
      </c>
      <c r="F39" s="29">
        <v>15</v>
      </c>
      <c r="G39" s="29">
        <v>17</v>
      </c>
    </row>
    <row r="40" spans="2:7" x14ac:dyDescent="0.3">
      <c r="B40" s="24"/>
      <c r="C40" s="27">
        <v>46133</v>
      </c>
      <c r="D40" s="28" t="s">
        <v>24</v>
      </c>
      <c r="E40" s="30">
        <v>13</v>
      </c>
      <c r="F40" s="30">
        <v>14</v>
      </c>
      <c r="G40" s="30">
        <v>17</v>
      </c>
    </row>
    <row r="41" spans="2:7" x14ac:dyDescent="0.3">
      <c r="B41" s="24"/>
      <c r="C41" s="27">
        <v>46134</v>
      </c>
      <c r="D41" s="28" t="s">
        <v>25</v>
      </c>
      <c r="E41" s="29">
        <v>13</v>
      </c>
      <c r="F41" s="29">
        <v>14</v>
      </c>
      <c r="G41" s="29">
        <v>17</v>
      </c>
    </row>
    <row r="42" spans="2:7" x14ac:dyDescent="0.3">
      <c r="B42" s="24"/>
      <c r="C42" s="27">
        <v>46135</v>
      </c>
      <c r="D42" s="28" t="s">
        <v>26</v>
      </c>
      <c r="E42" s="30">
        <v>14</v>
      </c>
      <c r="F42" s="30">
        <v>16</v>
      </c>
      <c r="G42" s="30">
        <v>18</v>
      </c>
    </row>
    <row r="43" spans="2:7" x14ac:dyDescent="0.3">
      <c r="B43" s="24" t="s">
        <v>4</v>
      </c>
      <c r="C43" s="27">
        <v>46124</v>
      </c>
      <c r="D43" s="28" t="s">
        <v>22</v>
      </c>
      <c r="E43" s="29">
        <v>16</v>
      </c>
      <c r="F43" s="29">
        <v>19</v>
      </c>
      <c r="G43" s="29">
        <v>19</v>
      </c>
    </row>
    <row r="44" spans="2:7" x14ac:dyDescent="0.3">
      <c r="B44" s="24"/>
      <c r="C44" s="27">
        <v>46125</v>
      </c>
      <c r="D44" s="28" t="s">
        <v>23</v>
      </c>
      <c r="E44" s="30">
        <v>16</v>
      </c>
      <c r="F44" s="30">
        <v>18</v>
      </c>
      <c r="G44" s="30">
        <v>20</v>
      </c>
    </row>
    <row r="45" spans="2:7" x14ac:dyDescent="0.3">
      <c r="B45" s="24"/>
      <c r="C45" s="27">
        <v>46126</v>
      </c>
      <c r="D45" s="28" t="s">
        <v>24</v>
      </c>
      <c r="E45" s="29">
        <v>16</v>
      </c>
      <c r="F45" s="29">
        <v>18</v>
      </c>
      <c r="G45" s="29">
        <v>19</v>
      </c>
    </row>
    <row r="46" spans="2:7" x14ac:dyDescent="0.3">
      <c r="B46" s="24"/>
      <c r="C46" s="27">
        <v>46127</v>
      </c>
      <c r="D46" s="28" t="s">
        <v>25</v>
      </c>
      <c r="E46" s="30">
        <v>14</v>
      </c>
      <c r="F46" s="30">
        <v>18</v>
      </c>
      <c r="G46" s="30">
        <v>19</v>
      </c>
    </row>
    <row r="47" spans="2:7" x14ac:dyDescent="0.3">
      <c r="B47" s="24"/>
      <c r="C47" s="27">
        <v>46128</v>
      </c>
      <c r="D47" s="28" t="s">
        <v>26</v>
      </c>
      <c r="E47" s="29">
        <v>16</v>
      </c>
      <c r="F47" s="29">
        <v>18</v>
      </c>
      <c r="G47" s="29">
        <v>19</v>
      </c>
    </row>
    <row r="48" spans="2:7" x14ac:dyDescent="0.3">
      <c r="B48" s="24"/>
      <c r="C48" s="27">
        <v>46131</v>
      </c>
      <c r="D48" s="28" t="s">
        <v>22</v>
      </c>
      <c r="E48" s="30">
        <v>17</v>
      </c>
      <c r="F48" s="30">
        <v>19</v>
      </c>
      <c r="G48" s="30">
        <v>19</v>
      </c>
    </row>
    <row r="49" spans="2:7" x14ac:dyDescent="0.3">
      <c r="B49" s="24"/>
      <c r="C49" s="27">
        <v>46132</v>
      </c>
      <c r="D49" s="28" t="s">
        <v>23</v>
      </c>
      <c r="E49" s="29">
        <v>16</v>
      </c>
      <c r="F49" s="29">
        <v>17</v>
      </c>
      <c r="G49" s="29">
        <v>20</v>
      </c>
    </row>
    <row r="50" spans="2:7" x14ac:dyDescent="0.3">
      <c r="B50" s="24"/>
      <c r="C50" s="27">
        <v>46133</v>
      </c>
      <c r="D50" s="28" t="s">
        <v>24</v>
      </c>
      <c r="E50" s="30">
        <v>17</v>
      </c>
      <c r="F50" s="30">
        <v>18</v>
      </c>
      <c r="G50" s="30">
        <v>19</v>
      </c>
    </row>
    <row r="51" spans="2:7" x14ac:dyDescent="0.3">
      <c r="B51" s="24"/>
      <c r="C51" s="27">
        <v>46134</v>
      </c>
      <c r="D51" s="28" t="s">
        <v>25</v>
      </c>
      <c r="E51" s="29">
        <v>16</v>
      </c>
      <c r="F51" s="29">
        <v>18</v>
      </c>
      <c r="G51" s="29">
        <v>19</v>
      </c>
    </row>
    <row r="52" spans="2:7" x14ac:dyDescent="0.3">
      <c r="B52" s="24"/>
      <c r="C52" s="27">
        <v>46135</v>
      </c>
      <c r="D52" s="28" t="s">
        <v>26</v>
      </c>
      <c r="E52" s="30">
        <v>16</v>
      </c>
      <c r="F52" s="30">
        <v>18</v>
      </c>
      <c r="G52" s="30">
        <v>19</v>
      </c>
    </row>
  </sheetData>
  <mergeCells count="5">
    <mergeCell ref="B3:B12"/>
    <mergeCell ref="B13:B22"/>
    <mergeCell ref="B23:B32"/>
    <mergeCell ref="B33:B42"/>
    <mergeCell ref="B43:B52"/>
  </mergeCells>
  <conditionalFormatting sqref="E3:G12">
    <cfRule type="colorScale" priority="5">
      <colorScale>
        <cfvo type="min"/>
        <cfvo type="percentile" val="50"/>
        <cfvo type="max"/>
        <color rgb="FFE1F5EE"/>
        <color rgb="FFFAEEDA"/>
        <color rgb="FFFCEBEB"/>
      </colorScale>
    </cfRule>
  </conditionalFormatting>
  <conditionalFormatting sqref="E13:G22">
    <cfRule type="colorScale" priority="4">
      <colorScale>
        <cfvo type="min"/>
        <cfvo type="percentile" val="50"/>
        <cfvo type="max"/>
        <color rgb="FFE1F5EE"/>
        <color rgb="FFFAEEDA"/>
        <color rgb="FFFCEBEB"/>
      </colorScale>
    </cfRule>
  </conditionalFormatting>
  <conditionalFormatting sqref="E23:G32">
    <cfRule type="colorScale" priority="3">
      <colorScale>
        <cfvo type="min"/>
        <cfvo type="percentile" val="50"/>
        <cfvo type="max"/>
        <color rgb="FFE1F5EE"/>
        <color rgb="FFFAEEDA"/>
        <color rgb="FFFCEBEB"/>
      </colorScale>
    </cfRule>
  </conditionalFormatting>
  <conditionalFormatting sqref="E33:G42">
    <cfRule type="colorScale" priority="2">
      <colorScale>
        <cfvo type="min"/>
        <cfvo type="percentile" val="50"/>
        <cfvo type="max"/>
        <color rgb="FFE1F5EE"/>
        <color rgb="FFFAEEDA"/>
        <color rgb="FFFCEBEB"/>
      </colorScale>
    </cfRule>
  </conditionalFormatting>
  <conditionalFormatting sqref="E43:G52">
    <cfRule type="colorScale" priority="1">
      <colorScale>
        <cfvo type="min"/>
        <cfvo type="percentile" val="50"/>
        <cfvo type="max"/>
        <color rgb="FFE1F5EE"/>
        <color rgb="FFFAEEDA"/>
        <color rgb="FFFCEBE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AB40-9FE5-4803-82B3-B9817D17644D}">
  <dimension ref="A1:R54"/>
  <sheetViews>
    <sheetView zoomScaleNormal="100" workbookViewId="0">
      <selection activeCell="F51" sqref="F51"/>
    </sheetView>
  </sheetViews>
  <sheetFormatPr defaultRowHeight="14.4" x14ac:dyDescent="0.3"/>
  <cols>
    <col min="1" max="1" width="8.88671875" style="54"/>
    <col min="2" max="2" width="9.77734375" customWidth="1"/>
    <col min="3" max="4" width="14.5546875" customWidth="1"/>
    <col min="5" max="5" width="8.88671875" customWidth="1"/>
    <col min="6" max="10" width="11.88671875" customWidth="1"/>
    <col min="11" max="11" width="7.77734375" customWidth="1"/>
    <col min="12" max="12" width="16.33203125" customWidth="1"/>
    <col min="13" max="18" width="10.44140625" customWidth="1"/>
  </cols>
  <sheetData>
    <row r="1" spans="1:18" ht="15.6" x14ac:dyDescent="0.3">
      <c r="A1" s="53" t="s">
        <v>67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3" spans="1:18" x14ac:dyDescent="0.3">
      <c r="A3" s="55" t="s">
        <v>37</v>
      </c>
      <c r="B3" s="56" t="s">
        <v>5</v>
      </c>
      <c r="C3" s="56" t="s">
        <v>6</v>
      </c>
      <c r="D3" s="56" t="s">
        <v>7</v>
      </c>
      <c r="E3" s="52"/>
      <c r="F3" s="51"/>
      <c r="G3" s="50"/>
      <c r="H3" s="49" t="s">
        <v>68</v>
      </c>
      <c r="I3" s="48"/>
      <c r="J3" s="47"/>
      <c r="L3" s="46" t="s">
        <v>67</v>
      </c>
      <c r="M3" s="45"/>
      <c r="N3" s="45"/>
      <c r="O3" s="45"/>
      <c r="P3" s="45"/>
      <c r="Q3" s="45"/>
      <c r="R3" s="44"/>
    </row>
    <row r="4" spans="1:18" x14ac:dyDescent="0.3">
      <c r="A4" s="55" t="s">
        <v>0</v>
      </c>
      <c r="B4" s="23">
        <v>38</v>
      </c>
      <c r="C4" s="23">
        <v>45</v>
      </c>
      <c r="D4" s="23">
        <v>41.5</v>
      </c>
      <c r="E4" s="31"/>
      <c r="F4" s="37"/>
      <c r="G4" s="36"/>
      <c r="H4" s="36"/>
      <c r="I4" s="36"/>
      <c r="J4" s="35"/>
      <c r="L4" s="42" t="s">
        <v>66</v>
      </c>
      <c r="M4" s="23" t="s">
        <v>65</v>
      </c>
      <c r="N4" s="23" t="s">
        <v>64</v>
      </c>
      <c r="O4" s="23" t="s">
        <v>63</v>
      </c>
      <c r="P4" s="23" t="s">
        <v>62</v>
      </c>
      <c r="Q4" s="23" t="s">
        <v>61</v>
      </c>
      <c r="R4" s="41" t="s">
        <v>60</v>
      </c>
    </row>
    <row r="5" spans="1:18" x14ac:dyDescent="0.3">
      <c r="A5" s="55"/>
      <c r="B5" s="23">
        <v>38</v>
      </c>
      <c r="C5" s="23">
        <v>47.5</v>
      </c>
      <c r="D5" s="23">
        <v>41.5</v>
      </c>
      <c r="E5" s="31"/>
      <c r="F5" s="37" t="s">
        <v>59</v>
      </c>
      <c r="G5" s="36" t="s">
        <v>37</v>
      </c>
      <c r="H5" s="43">
        <v>0.33333333333333331</v>
      </c>
      <c r="I5" s="43">
        <v>0.5</v>
      </c>
      <c r="J5" s="35" t="s">
        <v>54</v>
      </c>
      <c r="L5" s="42" t="s">
        <v>58</v>
      </c>
      <c r="M5" s="23">
        <v>16220.556666666667</v>
      </c>
      <c r="N5" s="23">
        <v>4</v>
      </c>
      <c r="O5" s="23">
        <v>4055.1391666666668</v>
      </c>
      <c r="P5" s="23">
        <v>2552.4829816994984</v>
      </c>
      <c r="Q5" s="23">
        <v>0</v>
      </c>
      <c r="R5" s="41">
        <v>2.4387392184472425</v>
      </c>
    </row>
    <row r="6" spans="1:18" x14ac:dyDescent="0.3">
      <c r="A6" s="55"/>
      <c r="B6" s="23">
        <v>38</v>
      </c>
      <c r="C6" s="23">
        <v>45</v>
      </c>
      <c r="D6" s="23">
        <v>41.5</v>
      </c>
      <c r="E6" s="31"/>
      <c r="F6" s="37" t="s">
        <v>0</v>
      </c>
      <c r="G6" s="36"/>
      <c r="H6" s="36"/>
      <c r="I6" s="36"/>
      <c r="J6" s="35"/>
      <c r="L6" s="42" t="s">
        <v>57</v>
      </c>
      <c r="M6" s="23">
        <v>470.92333333333357</v>
      </c>
      <c r="N6" s="23">
        <v>2</v>
      </c>
      <c r="O6" s="23">
        <v>235.46166666666679</v>
      </c>
      <c r="P6" s="23">
        <v>148.20993122741584</v>
      </c>
      <c r="Q6" s="23">
        <v>0</v>
      </c>
      <c r="R6" s="41">
        <v>3.0632038528816325</v>
      </c>
    </row>
    <row r="7" spans="1:18" x14ac:dyDescent="0.3">
      <c r="A7" s="55"/>
      <c r="B7" s="23">
        <v>35.5</v>
      </c>
      <c r="C7" s="23">
        <v>42.5</v>
      </c>
      <c r="D7" s="23">
        <v>41.5</v>
      </c>
      <c r="E7" s="31"/>
      <c r="F7" s="37" t="s">
        <v>53</v>
      </c>
      <c r="G7" s="36">
        <v>10</v>
      </c>
      <c r="H7" s="36">
        <v>10</v>
      </c>
      <c r="I7" s="36">
        <v>10</v>
      </c>
      <c r="J7" s="35">
        <v>30</v>
      </c>
      <c r="L7" s="42" t="s">
        <v>56</v>
      </c>
      <c r="M7" s="23">
        <v>178.59333333333137</v>
      </c>
      <c r="N7" s="23">
        <v>8</v>
      </c>
      <c r="O7" s="23">
        <v>22.324166666666422</v>
      </c>
      <c r="P7" s="23">
        <v>14.051812565566927</v>
      </c>
      <c r="Q7" s="23">
        <v>9.6589403142388619E-15</v>
      </c>
      <c r="R7" s="41">
        <v>2.0076349912995184</v>
      </c>
    </row>
    <row r="8" spans="1:18" x14ac:dyDescent="0.3">
      <c r="A8" s="55"/>
      <c r="B8" s="23">
        <v>35.5</v>
      </c>
      <c r="C8" s="23">
        <v>42.5</v>
      </c>
      <c r="D8" s="23">
        <v>39</v>
      </c>
      <c r="E8" s="31"/>
      <c r="F8" s="37" t="s">
        <v>52</v>
      </c>
      <c r="G8" s="36">
        <v>368.5</v>
      </c>
      <c r="H8" s="36">
        <v>445</v>
      </c>
      <c r="I8" s="36">
        <v>410</v>
      </c>
      <c r="J8" s="35">
        <v>1223.5</v>
      </c>
      <c r="L8" s="42" t="s">
        <v>55</v>
      </c>
      <c r="M8" s="23">
        <v>214.47500000000002</v>
      </c>
      <c r="N8" s="23">
        <v>135</v>
      </c>
      <c r="O8" s="23">
        <v>1.588703703703704</v>
      </c>
      <c r="P8" s="23"/>
      <c r="Q8" s="23"/>
      <c r="R8" s="41"/>
    </row>
    <row r="9" spans="1:18" x14ac:dyDescent="0.3">
      <c r="A9" s="55"/>
      <c r="B9" s="23">
        <v>38</v>
      </c>
      <c r="C9" s="23">
        <v>45</v>
      </c>
      <c r="D9" s="23">
        <v>41.5</v>
      </c>
      <c r="E9" s="31"/>
      <c r="F9" s="37" t="s">
        <v>51</v>
      </c>
      <c r="G9" s="36">
        <v>36.85</v>
      </c>
      <c r="H9" s="36">
        <v>44.5</v>
      </c>
      <c r="I9" s="36">
        <v>41</v>
      </c>
      <c r="J9" s="35">
        <v>40.783333333333331</v>
      </c>
      <c r="L9" s="42"/>
      <c r="M9" s="23"/>
      <c r="N9" s="23"/>
      <c r="O9" s="23"/>
      <c r="P9" s="23"/>
      <c r="Q9" s="23"/>
      <c r="R9" s="41"/>
    </row>
    <row r="10" spans="1:18" x14ac:dyDescent="0.3">
      <c r="A10" s="55"/>
      <c r="B10" s="23">
        <v>38</v>
      </c>
      <c r="C10" s="23">
        <v>47.5</v>
      </c>
      <c r="D10" s="23">
        <v>41.5</v>
      </c>
      <c r="E10" s="31"/>
      <c r="F10" s="37" t="s">
        <v>50</v>
      </c>
      <c r="G10" s="36">
        <v>1.5027777777777773</v>
      </c>
      <c r="H10" s="36">
        <v>3.8888888888888888</v>
      </c>
      <c r="I10" s="36">
        <v>1.1111111111111112</v>
      </c>
      <c r="J10" s="35">
        <v>12.132471264367814</v>
      </c>
      <c r="L10" s="40" t="s">
        <v>54</v>
      </c>
      <c r="M10" s="39">
        <v>17084.548333333332</v>
      </c>
      <c r="N10" s="39">
        <v>149</v>
      </c>
      <c r="O10" s="39"/>
      <c r="P10" s="39"/>
      <c r="Q10" s="39"/>
      <c r="R10" s="38"/>
    </row>
    <row r="11" spans="1:18" x14ac:dyDescent="0.3">
      <c r="A11" s="55"/>
      <c r="B11" s="23">
        <v>36</v>
      </c>
      <c r="C11" s="23">
        <v>45</v>
      </c>
      <c r="D11" s="23">
        <v>41.5</v>
      </c>
      <c r="E11" s="31"/>
      <c r="F11" s="37"/>
      <c r="G11" s="36"/>
      <c r="H11" s="36"/>
      <c r="I11" s="36"/>
      <c r="J11" s="35"/>
    </row>
    <row r="12" spans="1:18" x14ac:dyDescent="0.3">
      <c r="A12" s="55"/>
      <c r="B12" s="23">
        <v>36</v>
      </c>
      <c r="C12" s="23">
        <v>42.5</v>
      </c>
      <c r="D12" s="23">
        <v>41.5</v>
      </c>
      <c r="E12" s="31"/>
      <c r="F12" s="37" t="s">
        <v>1</v>
      </c>
      <c r="G12" s="36"/>
      <c r="H12" s="36"/>
      <c r="I12" s="36"/>
      <c r="J12" s="35"/>
    </row>
    <row r="13" spans="1:18" x14ac:dyDescent="0.3">
      <c r="A13" s="55"/>
      <c r="B13" s="23">
        <v>35.5</v>
      </c>
      <c r="C13" s="23">
        <v>42.5</v>
      </c>
      <c r="D13" s="23">
        <v>39</v>
      </c>
      <c r="E13" s="31"/>
      <c r="F13" s="37" t="s">
        <v>53</v>
      </c>
      <c r="G13" s="36">
        <v>10</v>
      </c>
      <c r="H13" s="36">
        <v>10</v>
      </c>
      <c r="I13" s="36">
        <v>10</v>
      </c>
      <c r="J13" s="35">
        <v>30</v>
      </c>
      <c r="N13" s="18"/>
      <c r="O13" s="18"/>
    </row>
    <row r="14" spans="1:18" x14ac:dyDescent="0.3">
      <c r="A14" s="55" t="s">
        <v>1</v>
      </c>
      <c r="B14" s="23">
        <v>26</v>
      </c>
      <c r="C14" s="23">
        <v>26</v>
      </c>
      <c r="D14" s="23">
        <v>28</v>
      </c>
      <c r="E14" s="31"/>
      <c r="F14" s="37" t="s">
        <v>52</v>
      </c>
      <c r="G14" s="36">
        <v>240.5</v>
      </c>
      <c r="H14" s="36">
        <v>264</v>
      </c>
      <c r="I14" s="36">
        <v>280</v>
      </c>
      <c r="J14" s="35">
        <v>784.5</v>
      </c>
    </row>
    <row r="15" spans="1:18" x14ac:dyDescent="0.3">
      <c r="A15" s="55"/>
      <c r="B15" s="23">
        <v>25.5</v>
      </c>
      <c r="C15" s="23">
        <v>28</v>
      </c>
      <c r="D15" s="23">
        <v>28</v>
      </c>
      <c r="E15" s="31"/>
      <c r="F15" s="37" t="s">
        <v>51</v>
      </c>
      <c r="G15" s="36">
        <v>24.05</v>
      </c>
      <c r="H15" s="36">
        <v>26.4</v>
      </c>
      <c r="I15" s="36">
        <v>28</v>
      </c>
      <c r="J15" s="35">
        <v>26.150000000000002</v>
      </c>
    </row>
    <row r="16" spans="1:18" x14ac:dyDescent="0.3">
      <c r="A16" s="55"/>
      <c r="B16" s="23">
        <v>22</v>
      </c>
      <c r="C16" s="23">
        <v>26</v>
      </c>
      <c r="D16" s="23">
        <v>28</v>
      </c>
      <c r="E16" s="31"/>
      <c r="F16" s="37" t="s">
        <v>50</v>
      </c>
      <c r="G16" s="36">
        <v>4.1916666666666664</v>
      </c>
      <c r="H16" s="36">
        <v>0.71111111111111103</v>
      </c>
      <c r="I16" s="36">
        <v>1.7777777777777777</v>
      </c>
      <c r="J16" s="35">
        <v>4.7956896551724144</v>
      </c>
    </row>
    <row r="17" spans="1:10" x14ac:dyDescent="0.3">
      <c r="A17" s="55"/>
      <c r="B17" s="23">
        <v>25.5</v>
      </c>
      <c r="C17" s="23">
        <v>26</v>
      </c>
      <c r="D17" s="23">
        <v>26</v>
      </c>
      <c r="E17" s="31"/>
      <c r="F17" s="37"/>
      <c r="G17" s="36"/>
      <c r="H17" s="36"/>
      <c r="I17" s="36"/>
      <c r="J17" s="35"/>
    </row>
    <row r="18" spans="1:10" x14ac:dyDescent="0.3">
      <c r="A18" s="55"/>
      <c r="B18" s="23">
        <v>22</v>
      </c>
      <c r="C18" s="23">
        <v>26</v>
      </c>
      <c r="D18" s="23">
        <v>30</v>
      </c>
      <c r="E18" s="31"/>
      <c r="F18" s="37" t="s">
        <v>2</v>
      </c>
      <c r="G18" s="36"/>
      <c r="H18" s="36"/>
      <c r="I18" s="36"/>
      <c r="J18" s="35"/>
    </row>
    <row r="19" spans="1:10" x14ac:dyDescent="0.3">
      <c r="A19" s="55"/>
      <c r="B19" s="23">
        <v>26</v>
      </c>
      <c r="C19" s="23">
        <v>26</v>
      </c>
      <c r="D19" s="23">
        <v>28</v>
      </c>
      <c r="E19" s="31"/>
      <c r="F19" s="37" t="s">
        <v>53</v>
      </c>
      <c r="G19" s="36">
        <v>10</v>
      </c>
      <c r="H19" s="36">
        <v>10</v>
      </c>
      <c r="I19" s="36">
        <v>10</v>
      </c>
      <c r="J19" s="35">
        <v>30</v>
      </c>
    </row>
    <row r="20" spans="1:10" x14ac:dyDescent="0.3">
      <c r="A20" s="55"/>
      <c r="B20" s="23">
        <v>26</v>
      </c>
      <c r="C20" s="23">
        <v>28</v>
      </c>
      <c r="D20" s="23">
        <v>30</v>
      </c>
      <c r="E20" s="31"/>
      <c r="F20" s="37" t="s">
        <v>52</v>
      </c>
      <c r="G20" s="36">
        <v>347</v>
      </c>
      <c r="H20" s="36">
        <v>396</v>
      </c>
      <c r="I20" s="36">
        <v>397.5</v>
      </c>
      <c r="J20" s="35">
        <v>1140.5</v>
      </c>
    </row>
    <row r="21" spans="1:10" x14ac:dyDescent="0.3">
      <c r="A21" s="55"/>
      <c r="B21" s="23">
        <v>21</v>
      </c>
      <c r="C21" s="23">
        <v>26</v>
      </c>
      <c r="D21" s="23">
        <v>28</v>
      </c>
      <c r="E21" s="31"/>
      <c r="F21" s="37" t="s">
        <v>51</v>
      </c>
      <c r="G21" s="36">
        <v>34.700000000000003</v>
      </c>
      <c r="H21" s="36">
        <v>39.6</v>
      </c>
      <c r="I21" s="36">
        <v>39.75</v>
      </c>
      <c r="J21" s="35">
        <v>38.016666666666673</v>
      </c>
    </row>
    <row r="22" spans="1:10" x14ac:dyDescent="0.3">
      <c r="A22" s="55"/>
      <c r="B22" s="23">
        <v>24.5</v>
      </c>
      <c r="C22" s="23">
        <v>26</v>
      </c>
      <c r="D22" s="23">
        <v>26</v>
      </c>
      <c r="E22" s="31"/>
      <c r="F22" s="37" t="s">
        <v>50</v>
      </c>
      <c r="G22" s="36">
        <v>1.6777777777777778</v>
      </c>
      <c r="H22" s="36">
        <v>2.6555555555555559</v>
      </c>
      <c r="I22" s="36">
        <v>4.0694444444444446</v>
      </c>
      <c r="J22" s="35">
        <v>8.3014367816091958</v>
      </c>
    </row>
    <row r="23" spans="1:10" x14ac:dyDescent="0.3">
      <c r="A23" s="55"/>
      <c r="B23" s="23">
        <v>22</v>
      </c>
      <c r="C23" s="23">
        <v>26</v>
      </c>
      <c r="D23" s="23">
        <v>28</v>
      </c>
      <c r="E23" s="31"/>
      <c r="F23" s="37"/>
      <c r="G23" s="36"/>
      <c r="H23" s="36"/>
      <c r="I23" s="36"/>
      <c r="J23" s="35"/>
    </row>
    <row r="24" spans="1:10" x14ac:dyDescent="0.3">
      <c r="A24" s="55" t="s">
        <v>2</v>
      </c>
      <c r="B24" s="23">
        <v>33.5</v>
      </c>
      <c r="C24" s="23">
        <v>38</v>
      </c>
      <c r="D24" s="23">
        <v>40.5</v>
      </c>
      <c r="E24" s="31"/>
      <c r="F24" s="37" t="s">
        <v>3</v>
      </c>
      <c r="G24" s="36"/>
      <c r="H24" s="36"/>
      <c r="I24" s="36"/>
      <c r="J24" s="35"/>
    </row>
    <row r="25" spans="1:10" x14ac:dyDescent="0.3">
      <c r="A25" s="55"/>
      <c r="B25" s="23">
        <v>37</v>
      </c>
      <c r="C25" s="23">
        <v>41.5</v>
      </c>
      <c r="D25" s="23">
        <v>40.5</v>
      </c>
      <c r="E25" s="31"/>
      <c r="F25" s="37" t="s">
        <v>53</v>
      </c>
      <c r="G25" s="36">
        <v>10</v>
      </c>
      <c r="H25" s="36">
        <v>10</v>
      </c>
      <c r="I25" s="36">
        <v>10</v>
      </c>
      <c r="J25" s="35">
        <v>30</v>
      </c>
    </row>
    <row r="26" spans="1:10" x14ac:dyDescent="0.3">
      <c r="A26" s="55"/>
      <c r="B26" s="23">
        <v>36</v>
      </c>
      <c r="C26" s="23">
        <v>38</v>
      </c>
      <c r="D26" s="23">
        <v>41</v>
      </c>
      <c r="E26" s="31"/>
      <c r="F26" s="37" t="s">
        <v>52</v>
      </c>
      <c r="G26" s="36">
        <v>136</v>
      </c>
      <c r="H26" s="36">
        <v>144</v>
      </c>
      <c r="I26" s="36">
        <v>169</v>
      </c>
      <c r="J26" s="35">
        <v>449</v>
      </c>
    </row>
    <row r="27" spans="1:10" x14ac:dyDescent="0.3">
      <c r="A27" s="55"/>
      <c r="B27" s="23">
        <v>33.5</v>
      </c>
      <c r="C27" s="23">
        <v>40</v>
      </c>
      <c r="D27" s="23">
        <v>37</v>
      </c>
      <c r="E27" s="31"/>
      <c r="F27" s="37" t="s">
        <v>51</v>
      </c>
      <c r="G27" s="36">
        <v>13.6</v>
      </c>
      <c r="H27" s="36">
        <v>14.4</v>
      </c>
      <c r="I27" s="36">
        <v>16.899999999999999</v>
      </c>
      <c r="J27" s="35">
        <v>14.966666666666667</v>
      </c>
    </row>
    <row r="28" spans="1:10" x14ac:dyDescent="0.3">
      <c r="A28" s="55"/>
      <c r="B28" s="23">
        <v>33.5</v>
      </c>
      <c r="C28" s="23">
        <v>38</v>
      </c>
      <c r="D28" s="23">
        <v>39.5</v>
      </c>
      <c r="E28" s="31"/>
      <c r="F28" s="37" t="s">
        <v>50</v>
      </c>
      <c r="G28" s="36">
        <v>0.26666666666666666</v>
      </c>
      <c r="H28" s="36">
        <v>0.48888888888888871</v>
      </c>
      <c r="I28" s="36">
        <v>0.32222222222222219</v>
      </c>
      <c r="J28" s="35">
        <v>2.3781609195402291</v>
      </c>
    </row>
    <row r="29" spans="1:10" x14ac:dyDescent="0.3">
      <c r="A29" s="55"/>
      <c r="B29" s="23">
        <v>33.5</v>
      </c>
      <c r="C29" s="23">
        <v>38</v>
      </c>
      <c r="D29" s="23">
        <v>41.5</v>
      </c>
      <c r="E29" s="31"/>
      <c r="F29" s="37"/>
      <c r="G29" s="36"/>
      <c r="H29" s="36"/>
      <c r="I29" s="36"/>
      <c r="J29" s="35"/>
    </row>
    <row r="30" spans="1:10" x14ac:dyDescent="0.3">
      <c r="A30" s="55"/>
      <c r="B30" s="23">
        <v>36</v>
      </c>
      <c r="C30" s="23">
        <v>41.5</v>
      </c>
      <c r="D30" s="23">
        <v>41.5</v>
      </c>
      <c r="E30" s="31"/>
      <c r="F30" s="37" t="s">
        <v>4</v>
      </c>
      <c r="G30" s="36"/>
      <c r="H30" s="36"/>
      <c r="I30" s="36"/>
      <c r="J30" s="35"/>
    </row>
    <row r="31" spans="1:10" x14ac:dyDescent="0.3">
      <c r="A31" s="55"/>
      <c r="B31" s="23">
        <v>35</v>
      </c>
      <c r="C31" s="23">
        <v>39</v>
      </c>
      <c r="D31" s="23">
        <v>42</v>
      </c>
      <c r="E31" s="31"/>
      <c r="F31" s="37" t="s">
        <v>53</v>
      </c>
      <c r="G31" s="36">
        <v>10</v>
      </c>
      <c r="H31" s="36">
        <v>10</v>
      </c>
      <c r="I31" s="36">
        <v>10</v>
      </c>
      <c r="J31" s="35">
        <v>30</v>
      </c>
    </row>
    <row r="32" spans="1:10" x14ac:dyDescent="0.3">
      <c r="A32" s="55"/>
      <c r="B32" s="23">
        <v>35</v>
      </c>
      <c r="C32" s="23">
        <v>40</v>
      </c>
      <c r="D32" s="23">
        <v>37</v>
      </c>
      <c r="E32" s="31"/>
      <c r="F32" s="37" t="s">
        <v>52</v>
      </c>
      <c r="G32" s="36">
        <v>160</v>
      </c>
      <c r="H32" s="36">
        <v>181</v>
      </c>
      <c r="I32" s="36">
        <v>192</v>
      </c>
      <c r="J32" s="35">
        <v>533</v>
      </c>
    </row>
    <row r="33" spans="1:10" x14ac:dyDescent="0.3">
      <c r="A33" s="55"/>
      <c r="B33" s="23">
        <v>34</v>
      </c>
      <c r="C33" s="23">
        <v>42</v>
      </c>
      <c r="D33" s="23">
        <v>37</v>
      </c>
      <c r="E33" s="31"/>
      <c r="F33" s="37" t="s">
        <v>51</v>
      </c>
      <c r="G33" s="36">
        <v>16</v>
      </c>
      <c r="H33" s="36">
        <v>18.100000000000001</v>
      </c>
      <c r="I33" s="36">
        <v>19.2</v>
      </c>
      <c r="J33" s="35">
        <v>17.766666666666666</v>
      </c>
    </row>
    <row r="34" spans="1:10" x14ac:dyDescent="0.3">
      <c r="A34" s="55" t="s">
        <v>3</v>
      </c>
      <c r="B34" s="23">
        <v>14</v>
      </c>
      <c r="C34" s="23">
        <v>14</v>
      </c>
      <c r="D34" s="23">
        <v>16</v>
      </c>
      <c r="E34" s="31"/>
      <c r="F34" s="37" t="s">
        <v>50</v>
      </c>
      <c r="G34" s="36">
        <v>0.66666666666666663</v>
      </c>
      <c r="H34" s="36">
        <v>0.32222222222222219</v>
      </c>
      <c r="I34" s="36">
        <v>0.17777777777777776</v>
      </c>
      <c r="J34" s="35">
        <v>2.1850574712643676</v>
      </c>
    </row>
    <row r="35" spans="1:10" x14ac:dyDescent="0.3">
      <c r="A35" s="55"/>
      <c r="B35" s="23">
        <v>14</v>
      </c>
      <c r="C35" s="23">
        <v>15</v>
      </c>
      <c r="D35" s="23">
        <v>17</v>
      </c>
      <c r="E35" s="31"/>
      <c r="F35" s="37"/>
      <c r="G35" s="36"/>
      <c r="H35" s="36"/>
      <c r="I35" s="36"/>
      <c r="J35" s="35"/>
    </row>
    <row r="36" spans="1:10" x14ac:dyDescent="0.3">
      <c r="A36" s="55"/>
      <c r="B36" s="23">
        <v>13</v>
      </c>
      <c r="C36" s="23">
        <v>14</v>
      </c>
      <c r="D36" s="23">
        <v>17</v>
      </c>
      <c r="E36" s="31"/>
      <c r="F36" s="37" t="s">
        <v>54</v>
      </c>
      <c r="G36" s="36"/>
      <c r="H36" s="36"/>
      <c r="I36" s="36"/>
      <c r="J36" s="35"/>
    </row>
    <row r="37" spans="1:10" x14ac:dyDescent="0.3">
      <c r="A37" s="55"/>
      <c r="B37" s="23">
        <v>13</v>
      </c>
      <c r="C37" s="23">
        <v>14</v>
      </c>
      <c r="D37" s="23">
        <v>17</v>
      </c>
      <c r="E37" s="31"/>
      <c r="F37" s="37" t="s">
        <v>53</v>
      </c>
      <c r="G37" s="36">
        <v>50</v>
      </c>
      <c r="H37" s="36">
        <v>50</v>
      </c>
      <c r="I37" s="36">
        <v>50</v>
      </c>
      <c r="J37" s="35"/>
    </row>
    <row r="38" spans="1:10" x14ac:dyDescent="0.3">
      <c r="A38" s="55"/>
      <c r="B38" s="23">
        <v>14</v>
      </c>
      <c r="C38" s="23">
        <v>14</v>
      </c>
      <c r="D38" s="23">
        <v>17</v>
      </c>
      <c r="E38" s="31"/>
      <c r="F38" s="37" t="s">
        <v>52</v>
      </c>
      <c r="G38" s="36">
        <v>1252</v>
      </c>
      <c r="H38" s="36">
        <v>1430</v>
      </c>
      <c r="I38" s="36">
        <v>1448.5</v>
      </c>
      <c r="J38" s="35"/>
    </row>
    <row r="39" spans="1:10" x14ac:dyDescent="0.3">
      <c r="A39" s="55"/>
      <c r="B39" s="23">
        <v>14</v>
      </c>
      <c r="C39" s="23">
        <v>14</v>
      </c>
      <c r="D39" s="23">
        <v>16</v>
      </c>
      <c r="E39" s="31"/>
      <c r="F39" s="37" t="s">
        <v>51</v>
      </c>
      <c r="G39" s="36">
        <v>25.04</v>
      </c>
      <c r="H39" s="36">
        <v>28.6</v>
      </c>
      <c r="I39" s="36">
        <v>28.97</v>
      </c>
      <c r="J39" s="35"/>
    </row>
    <row r="40" spans="1:10" x14ac:dyDescent="0.3">
      <c r="A40" s="55"/>
      <c r="B40" s="23">
        <v>14</v>
      </c>
      <c r="C40" s="23">
        <v>15</v>
      </c>
      <c r="D40" s="23">
        <v>17</v>
      </c>
      <c r="E40" s="31"/>
      <c r="F40" s="34" t="s">
        <v>50</v>
      </c>
      <c r="G40" s="33">
        <v>92.620816326530601</v>
      </c>
      <c r="H40" s="33">
        <v>142.40816326530614</v>
      </c>
      <c r="I40" s="33">
        <v>104.02459183673471</v>
      </c>
      <c r="J40" s="32"/>
    </row>
    <row r="41" spans="1:10" x14ac:dyDescent="0.3">
      <c r="A41" s="55"/>
      <c r="B41" s="23">
        <v>13</v>
      </c>
      <c r="C41" s="23">
        <v>14</v>
      </c>
      <c r="D41" s="23">
        <v>17</v>
      </c>
      <c r="E41" s="31"/>
    </row>
    <row r="42" spans="1:10" x14ac:dyDescent="0.3">
      <c r="A42" s="55"/>
      <c r="B42" s="23">
        <v>13</v>
      </c>
      <c r="C42" s="23">
        <v>14</v>
      </c>
      <c r="D42" s="23">
        <v>17</v>
      </c>
      <c r="E42" s="31"/>
    </row>
    <row r="43" spans="1:10" x14ac:dyDescent="0.3">
      <c r="A43" s="55"/>
      <c r="B43" s="23">
        <v>14</v>
      </c>
      <c r="C43" s="23">
        <v>16</v>
      </c>
      <c r="D43" s="23">
        <v>18</v>
      </c>
      <c r="E43" s="31"/>
    </row>
    <row r="44" spans="1:10" x14ac:dyDescent="0.3">
      <c r="A44" s="55" t="s">
        <v>4</v>
      </c>
      <c r="B44" s="23">
        <v>16</v>
      </c>
      <c r="C44" s="23">
        <v>19</v>
      </c>
      <c r="D44" s="23">
        <v>19</v>
      </c>
      <c r="E44" s="31"/>
    </row>
    <row r="45" spans="1:10" x14ac:dyDescent="0.3">
      <c r="A45" s="55"/>
      <c r="B45" s="23">
        <v>16</v>
      </c>
      <c r="C45" s="23">
        <v>18</v>
      </c>
      <c r="D45" s="23">
        <v>20</v>
      </c>
      <c r="E45" s="31"/>
    </row>
    <row r="46" spans="1:10" x14ac:dyDescent="0.3">
      <c r="A46" s="55"/>
      <c r="B46" s="23">
        <v>16</v>
      </c>
      <c r="C46" s="23">
        <v>18</v>
      </c>
      <c r="D46" s="23">
        <v>19</v>
      </c>
      <c r="E46" s="31"/>
    </row>
    <row r="47" spans="1:10" x14ac:dyDescent="0.3">
      <c r="A47" s="55"/>
      <c r="B47" s="23">
        <v>14</v>
      </c>
      <c r="C47" s="23">
        <v>18</v>
      </c>
      <c r="D47" s="23">
        <v>19</v>
      </c>
      <c r="E47" s="31"/>
    </row>
    <row r="48" spans="1:10" x14ac:dyDescent="0.3">
      <c r="A48" s="55"/>
      <c r="B48" s="23">
        <v>16</v>
      </c>
      <c r="C48" s="23">
        <v>18</v>
      </c>
      <c r="D48" s="23">
        <v>19</v>
      </c>
      <c r="E48" s="31"/>
    </row>
    <row r="49" spans="1:5" x14ac:dyDescent="0.3">
      <c r="A49" s="55"/>
      <c r="B49" s="23">
        <v>17</v>
      </c>
      <c r="C49" s="23">
        <v>19</v>
      </c>
      <c r="D49" s="23">
        <v>19</v>
      </c>
      <c r="E49" s="31"/>
    </row>
    <row r="50" spans="1:5" x14ac:dyDescent="0.3">
      <c r="A50" s="55"/>
      <c r="B50" s="23">
        <v>16</v>
      </c>
      <c r="C50" s="23">
        <v>17</v>
      </c>
      <c r="D50" s="23">
        <v>20</v>
      </c>
      <c r="E50" s="31"/>
    </row>
    <row r="51" spans="1:5" x14ac:dyDescent="0.3">
      <c r="A51" s="55"/>
      <c r="B51" s="23">
        <v>17</v>
      </c>
      <c r="C51" s="23">
        <v>18</v>
      </c>
      <c r="D51" s="23">
        <v>19</v>
      </c>
      <c r="E51" s="31"/>
    </row>
    <row r="52" spans="1:5" x14ac:dyDescent="0.3">
      <c r="A52" s="55"/>
      <c r="B52" s="23">
        <v>16</v>
      </c>
      <c r="C52" s="23">
        <v>18</v>
      </c>
      <c r="D52" s="23">
        <v>19</v>
      </c>
      <c r="E52" s="31"/>
    </row>
    <row r="53" spans="1:5" x14ac:dyDescent="0.3">
      <c r="A53" s="55"/>
      <c r="B53" s="23">
        <v>16</v>
      </c>
      <c r="C53" s="23">
        <v>18</v>
      </c>
      <c r="D53" s="23">
        <v>19</v>
      </c>
      <c r="E53" s="31"/>
    </row>
    <row r="54" spans="1:5" x14ac:dyDescent="0.3">
      <c r="A54" s="55"/>
      <c r="B54" s="23"/>
      <c r="C54" s="23"/>
      <c r="D54" s="23"/>
    </row>
  </sheetData>
  <mergeCells count="1">
    <mergeCell ref="A1:R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C819-1DC8-4490-8962-52696DBF26F3}">
  <dimension ref="A1:J41"/>
  <sheetViews>
    <sheetView tabSelected="1" workbookViewId="0">
      <selection activeCell="J22" sqref="J22"/>
    </sheetView>
  </sheetViews>
  <sheetFormatPr defaultRowHeight="14.4" x14ac:dyDescent="0.3"/>
  <cols>
    <col min="1" max="1" width="25" style="57" customWidth="1"/>
    <col min="2" max="2" width="15" style="57" customWidth="1"/>
    <col min="3" max="7" width="18" style="57" customWidth="1"/>
    <col min="8" max="8" width="8.88671875" style="57"/>
    <col min="9" max="9" width="23.5546875" style="57" bestFit="1" customWidth="1"/>
    <col min="10" max="10" width="40.21875" style="57" bestFit="1" customWidth="1"/>
    <col min="11" max="16384" width="8.88671875" style="57"/>
  </cols>
  <sheetData>
    <row r="1" spans="1:10" s="57" customFormat="1" ht="15.6" x14ac:dyDescent="0.3">
      <c r="A1" s="68" t="s">
        <v>118</v>
      </c>
      <c r="B1" s="67"/>
      <c r="C1" s="67"/>
      <c r="D1" s="67"/>
      <c r="E1" s="67"/>
      <c r="F1" s="67"/>
      <c r="G1" s="67"/>
      <c r="I1" s="66" t="s">
        <v>117</v>
      </c>
      <c r="J1" s="66"/>
    </row>
    <row r="2" spans="1:10" s="57" customFormat="1" x14ac:dyDescent="0.3">
      <c r="I2" s="63"/>
      <c r="J2" s="63"/>
    </row>
    <row r="3" spans="1:10" s="57" customFormat="1" x14ac:dyDescent="0.3">
      <c r="A3" s="64" t="s">
        <v>116</v>
      </c>
      <c r="B3" s="63">
        <v>0.05</v>
      </c>
      <c r="I3" s="64" t="s">
        <v>115</v>
      </c>
      <c r="J3" s="63" t="s">
        <v>114</v>
      </c>
    </row>
    <row r="4" spans="1:10" s="57" customFormat="1" x14ac:dyDescent="0.3">
      <c r="A4" s="64" t="s">
        <v>113</v>
      </c>
      <c r="B4" s="65">
        <v>1.588703703703704</v>
      </c>
      <c r="I4" s="64"/>
      <c r="J4" s="63"/>
    </row>
    <row r="5" spans="1:10" s="57" customFormat="1" x14ac:dyDescent="0.3">
      <c r="A5" s="64" t="s">
        <v>112</v>
      </c>
      <c r="B5" s="63">
        <v>135</v>
      </c>
      <c r="I5" s="64" t="s">
        <v>111</v>
      </c>
      <c r="J5" s="63" t="s">
        <v>110</v>
      </c>
    </row>
    <row r="6" spans="1:10" s="57" customFormat="1" x14ac:dyDescent="0.3">
      <c r="A6" s="64" t="s">
        <v>109</v>
      </c>
      <c r="B6" s="65">
        <v>1.9776922772228041</v>
      </c>
      <c r="I6" s="64" t="s">
        <v>86</v>
      </c>
      <c r="J6" s="63" t="s">
        <v>108</v>
      </c>
    </row>
    <row r="7" spans="1:10" s="57" customFormat="1" x14ac:dyDescent="0.3">
      <c r="I7" s="64"/>
      <c r="J7" s="63"/>
    </row>
    <row r="8" spans="1:10" s="57" customFormat="1" x14ac:dyDescent="0.3">
      <c r="I8" s="64" t="s">
        <v>107</v>
      </c>
      <c r="J8" s="63"/>
    </row>
    <row r="9" spans="1:10" s="57" customFormat="1" ht="15.6" x14ac:dyDescent="0.3">
      <c r="A9" s="62" t="s">
        <v>106</v>
      </c>
      <c r="B9" s="61"/>
      <c r="C9" s="61"/>
      <c r="D9" s="61"/>
      <c r="E9" s="61"/>
      <c r="F9" s="61"/>
      <c r="G9" s="61"/>
      <c r="I9" s="64" t="s">
        <v>105</v>
      </c>
      <c r="J9" s="63" t="s">
        <v>104</v>
      </c>
    </row>
    <row r="10" spans="1:10" s="57" customFormat="1" x14ac:dyDescent="0.3">
      <c r="A10" s="60" t="s">
        <v>38</v>
      </c>
      <c r="B10" s="60" t="s">
        <v>89</v>
      </c>
      <c r="C10" s="60" t="s">
        <v>88</v>
      </c>
      <c r="D10" s="60" t="s">
        <v>87</v>
      </c>
      <c r="E10" s="60" t="s">
        <v>86</v>
      </c>
      <c r="F10" s="60" t="s">
        <v>85</v>
      </c>
      <c r="G10" s="60" t="s">
        <v>84</v>
      </c>
      <c r="I10" s="64" t="s">
        <v>103</v>
      </c>
      <c r="J10" s="63" t="s">
        <v>102</v>
      </c>
    </row>
    <row r="11" spans="1:10" s="57" customFormat="1" x14ac:dyDescent="0.3">
      <c r="A11" s="59" t="s">
        <v>5</v>
      </c>
      <c r="B11" s="59">
        <v>50</v>
      </c>
      <c r="C11" s="58">
        <v>25.04</v>
      </c>
      <c r="D11" s="58">
        <v>0.1782528374923498</v>
      </c>
      <c r="E11" s="58">
        <v>0.35252926010167168</v>
      </c>
      <c r="F11" s="58">
        <v>24.68747073989833</v>
      </c>
      <c r="G11" s="58">
        <v>25.392529260101671</v>
      </c>
      <c r="I11" s="64" t="s">
        <v>101</v>
      </c>
      <c r="J11" s="63" t="s">
        <v>100</v>
      </c>
    </row>
    <row r="12" spans="1:10" s="57" customFormat="1" x14ac:dyDescent="0.3">
      <c r="A12" s="59" t="s">
        <v>6</v>
      </c>
      <c r="B12" s="59">
        <v>50</v>
      </c>
      <c r="C12" s="58">
        <v>28.6</v>
      </c>
      <c r="D12" s="58">
        <v>0.1782528374923498</v>
      </c>
      <c r="E12" s="58">
        <v>0.35252926010167168</v>
      </c>
      <c r="F12" s="58">
        <v>28.247470739898329</v>
      </c>
      <c r="G12" s="58">
        <v>28.95252926010167</v>
      </c>
      <c r="I12" s="64" t="s">
        <v>99</v>
      </c>
      <c r="J12" s="63" t="s">
        <v>98</v>
      </c>
    </row>
    <row r="13" spans="1:10" s="57" customFormat="1" x14ac:dyDescent="0.3">
      <c r="A13" s="59" t="s">
        <v>7</v>
      </c>
      <c r="B13" s="59">
        <v>50</v>
      </c>
      <c r="C13" s="58">
        <v>28.97</v>
      </c>
      <c r="D13" s="58">
        <v>0.1782528374923498</v>
      </c>
      <c r="E13" s="58">
        <v>0.35252926010167168</v>
      </c>
      <c r="F13" s="58">
        <v>28.61747073989833</v>
      </c>
      <c r="G13" s="58">
        <v>29.322529260101671</v>
      </c>
      <c r="I13" s="64" t="s">
        <v>97</v>
      </c>
      <c r="J13" s="63" t="s">
        <v>96</v>
      </c>
    </row>
    <row r="14" spans="1:10" s="57" customFormat="1" x14ac:dyDescent="0.3">
      <c r="I14" s="64" t="s">
        <v>95</v>
      </c>
      <c r="J14" s="63" t="s">
        <v>94</v>
      </c>
    </row>
    <row r="15" spans="1:10" s="57" customFormat="1" x14ac:dyDescent="0.3">
      <c r="I15" s="64"/>
      <c r="J15" s="63"/>
    </row>
    <row r="16" spans="1:10" s="57" customFormat="1" ht="15.6" x14ac:dyDescent="0.3">
      <c r="A16" s="62" t="s">
        <v>93</v>
      </c>
      <c r="B16" s="61"/>
      <c r="C16" s="61"/>
      <c r="D16" s="61"/>
      <c r="E16" s="61"/>
      <c r="F16" s="61"/>
      <c r="G16" s="61"/>
      <c r="I16" s="64" t="s">
        <v>92</v>
      </c>
      <c r="J16" s="63" t="s">
        <v>91</v>
      </c>
    </row>
    <row r="17" spans="1:7" s="57" customFormat="1" x14ac:dyDescent="0.3">
      <c r="A17" s="60" t="s">
        <v>38</v>
      </c>
      <c r="B17" s="60" t="s">
        <v>89</v>
      </c>
      <c r="C17" s="60" t="s">
        <v>88</v>
      </c>
      <c r="D17" s="60" t="s">
        <v>87</v>
      </c>
      <c r="E17" s="60" t="s">
        <v>86</v>
      </c>
      <c r="F17" s="60" t="s">
        <v>85</v>
      </c>
      <c r="G17" s="60" t="s">
        <v>84</v>
      </c>
    </row>
    <row r="18" spans="1:7" s="57" customFormat="1" x14ac:dyDescent="0.3">
      <c r="A18" s="59" t="s">
        <v>0</v>
      </c>
      <c r="B18" s="59">
        <v>30</v>
      </c>
      <c r="C18" s="58">
        <v>40.783333333333331</v>
      </c>
      <c r="D18" s="58">
        <v>0.2301234236740293</v>
      </c>
      <c r="E18" s="58">
        <v>0.45511331780819919</v>
      </c>
      <c r="F18" s="58">
        <v>40.328220015525133</v>
      </c>
      <c r="G18" s="58">
        <v>41.23844665114153</v>
      </c>
    </row>
    <row r="19" spans="1:7" s="57" customFormat="1" x14ac:dyDescent="0.3">
      <c r="A19" s="59" t="s">
        <v>1</v>
      </c>
      <c r="B19" s="59">
        <v>30</v>
      </c>
      <c r="C19" s="58">
        <v>26.15</v>
      </c>
      <c r="D19" s="58">
        <v>0.2301234236740293</v>
      </c>
      <c r="E19" s="58">
        <v>0.45511331780819919</v>
      </c>
      <c r="F19" s="58">
        <v>25.6948866821918</v>
      </c>
      <c r="G19" s="58">
        <v>26.6051133178082</v>
      </c>
    </row>
    <row r="20" spans="1:7" s="57" customFormat="1" x14ac:dyDescent="0.3">
      <c r="A20" s="59" t="s">
        <v>2</v>
      </c>
      <c r="B20" s="59">
        <v>30</v>
      </c>
      <c r="C20" s="58">
        <v>38.016666666666673</v>
      </c>
      <c r="D20" s="58">
        <v>0.2301234236740293</v>
      </c>
      <c r="E20" s="58">
        <v>0.45511331780819919</v>
      </c>
      <c r="F20" s="58">
        <v>37.561553348858467</v>
      </c>
      <c r="G20" s="58">
        <v>38.471779984474871</v>
      </c>
    </row>
    <row r="21" spans="1:7" s="57" customFormat="1" x14ac:dyDescent="0.3">
      <c r="A21" s="59" t="s">
        <v>3</v>
      </c>
      <c r="B21" s="59">
        <v>30</v>
      </c>
      <c r="C21" s="58">
        <v>14.96666666666667</v>
      </c>
      <c r="D21" s="58">
        <v>0.2301234236740293</v>
      </c>
      <c r="E21" s="58">
        <v>0.45511331780819919</v>
      </c>
      <c r="F21" s="58">
        <v>14.51155334885847</v>
      </c>
      <c r="G21" s="58">
        <v>15.42177998447487</v>
      </c>
    </row>
    <row r="22" spans="1:7" s="57" customFormat="1" x14ac:dyDescent="0.3">
      <c r="A22" s="59" t="s">
        <v>4</v>
      </c>
      <c r="B22" s="59">
        <v>30</v>
      </c>
      <c r="C22" s="58">
        <v>17.766666666666669</v>
      </c>
      <c r="D22" s="58">
        <v>0.2301234236740293</v>
      </c>
      <c r="E22" s="58">
        <v>0.45511331780819919</v>
      </c>
      <c r="F22" s="58">
        <v>17.311553348858471</v>
      </c>
      <c r="G22" s="58">
        <v>18.22177998447486</v>
      </c>
    </row>
    <row r="25" spans="1:7" s="57" customFormat="1" ht="15.6" x14ac:dyDescent="0.3">
      <c r="A25" s="62" t="s">
        <v>90</v>
      </c>
      <c r="B25" s="61"/>
      <c r="C25" s="61"/>
      <c r="D25" s="61"/>
      <c r="E25" s="61"/>
      <c r="F25" s="61"/>
      <c r="G25" s="61"/>
    </row>
    <row r="26" spans="1:7" s="57" customFormat="1" x14ac:dyDescent="0.3">
      <c r="A26" s="60" t="s">
        <v>38</v>
      </c>
      <c r="B26" s="60" t="s">
        <v>89</v>
      </c>
      <c r="C26" s="60" t="s">
        <v>88</v>
      </c>
      <c r="D26" s="60" t="s">
        <v>87</v>
      </c>
      <c r="E26" s="60" t="s">
        <v>86</v>
      </c>
      <c r="F26" s="60" t="s">
        <v>85</v>
      </c>
      <c r="G26" s="60" t="s">
        <v>84</v>
      </c>
    </row>
    <row r="27" spans="1:7" s="57" customFormat="1" x14ac:dyDescent="0.3">
      <c r="A27" s="59" t="s">
        <v>83</v>
      </c>
      <c r="B27" s="59">
        <v>10</v>
      </c>
      <c r="C27" s="58">
        <v>36.85</v>
      </c>
      <c r="D27" s="58">
        <v>0.39858546181511739</v>
      </c>
      <c r="E27" s="58">
        <v>0.78827938964504252</v>
      </c>
      <c r="F27" s="58">
        <v>36.061720610354961</v>
      </c>
      <c r="G27" s="58">
        <v>37.638279389645042</v>
      </c>
    </row>
    <row r="28" spans="1:7" s="57" customFormat="1" x14ac:dyDescent="0.3">
      <c r="A28" s="59" t="s">
        <v>82</v>
      </c>
      <c r="B28" s="59">
        <v>10</v>
      </c>
      <c r="C28" s="58">
        <v>44.5</v>
      </c>
      <c r="D28" s="58">
        <v>0.39858546181511739</v>
      </c>
      <c r="E28" s="58">
        <v>0.78827938964504252</v>
      </c>
      <c r="F28" s="58">
        <v>43.711720610355002</v>
      </c>
      <c r="G28" s="58">
        <v>45.288279389645041</v>
      </c>
    </row>
    <row r="29" spans="1:7" s="57" customFormat="1" x14ac:dyDescent="0.3">
      <c r="A29" s="59" t="s">
        <v>81</v>
      </c>
      <c r="B29" s="59">
        <v>10</v>
      </c>
      <c r="C29" s="58">
        <v>41</v>
      </c>
      <c r="D29" s="58">
        <v>0.39858546181511739</v>
      </c>
      <c r="E29" s="58">
        <v>0.78827938964504252</v>
      </c>
      <c r="F29" s="58">
        <v>40.211720610354959</v>
      </c>
      <c r="G29" s="58">
        <v>41.788279389645041</v>
      </c>
    </row>
    <row r="30" spans="1:7" s="57" customFormat="1" x14ac:dyDescent="0.3">
      <c r="A30" s="59" t="s">
        <v>80</v>
      </c>
      <c r="B30" s="59">
        <v>10</v>
      </c>
      <c r="C30" s="58">
        <v>24.05</v>
      </c>
      <c r="D30" s="58">
        <v>0.39858546181511739</v>
      </c>
      <c r="E30" s="58">
        <v>0.78827938964504252</v>
      </c>
      <c r="F30" s="58">
        <v>23.26172061035496</v>
      </c>
      <c r="G30" s="58">
        <v>24.838279389645042</v>
      </c>
    </row>
    <row r="31" spans="1:7" s="57" customFormat="1" x14ac:dyDescent="0.3">
      <c r="A31" s="59" t="s">
        <v>79</v>
      </c>
      <c r="B31" s="59">
        <v>10</v>
      </c>
      <c r="C31" s="58">
        <v>26.4</v>
      </c>
      <c r="D31" s="58">
        <v>0.39858546181511739</v>
      </c>
      <c r="E31" s="58">
        <v>0.78827938964504252</v>
      </c>
      <c r="F31" s="58">
        <v>25.611720610354961</v>
      </c>
      <c r="G31" s="58">
        <v>27.188279389645039</v>
      </c>
    </row>
    <row r="32" spans="1:7" s="57" customFormat="1" x14ac:dyDescent="0.3">
      <c r="A32" s="59" t="s">
        <v>78</v>
      </c>
      <c r="B32" s="59">
        <v>10</v>
      </c>
      <c r="C32" s="58">
        <v>28</v>
      </c>
      <c r="D32" s="58">
        <v>0.39858546181511739</v>
      </c>
      <c r="E32" s="58">
        <v>0.78827938964504252</v>
      </c>
      <c r="F32" s="58">
        <v>27.211720610354959</v>
      </c>
      <c r="G32" s="58">
        <v>28.788279389645041</v>
      </c>
    </row>
    <row r="33" spans="1:7" s="57" customFormat="1" x14ac:dyDescent="0.3">
      <c r="A33" s="59" t="s">
        <v>77</v>
      </c>
      <c r="B33" s="59">
        <v>10</v>
      </c>
      <c r="C33" s="58">
        <v>34.700000000000003</v>
      </c>
      <c r="D33" s="58">
        <v>0.39858546181511739</v>
      </c>
      <c r="E33" s="58">
        <v>0.78827938964504252</v>
      </c>
      <c r="F33" s="58">
        <v>33.911720610354962</v>
      </c>
      <c r="G33" s="58">
        <v>35.488279389645037</v>
      </c>
    </row>
    <row r="34" spans="1:7" s="57" customFormat="1" x14ac:dyDescent="0.3">
      <c r="A34" s="59" t="s">
        <v>76</v>
      </c>
      <c r="B34" s="59">
        <v>10</v>
      </c>
      <c r="C34" s="58">
        <v>39.6</v>
      </c>
      <c r="D34" s="58">
        <v>0.39858546181511739</v>
      </c>
      <c r="E34" s="58">
        <v>0.78827938964504252</v>
      </c>
      <c r="F34" s="58">
        <v>38.811720610354961</v>
      </c>
      <c r="G34" s="58">
        <v>40.388279389645042</v>
      </c>
    </row>
    <row r="35" spans="1:7" s="57" customFormat="1" x14ac:dyDescent="0.3">
      <c r="A35" s="59" t="s">
        <v>75</v>
      </c>
      <c r="B35" s="59">
        <v>10</v>
      </c>
      <c r="C35" s="58">
        <v>39.75</v>
      </c>
      <c r="D35" s="58">
        <v>0.39858546181511739</v>
      </c>
      <c r="E35" s="58">
        <v>0.78827938964504252</v>
      </c>
      <c r="F35" s="58">
        <v>38.961720610354959</v>
      </c>
      <c r="G35" s="58">
        <v>40.538279389645041</v>
      </c>
    </row>
    <row r="36" spans="1:7" s="57" customFormat="1" x14ac:dyDescent="0.3">
      <c r="A36" s="59" t="s">
        <v>74</v>
      </c>
      <c r="B36" s="59">
        <v>10</v>
      </c>
      <c r="C36" s="58">
        <v>13.6</v>
      </c>
      <c r="D36" s="58">
        <v>0.39858546181511739</v>
      </c>
      <c r="E36" s="58">
        <v>0.78827938964504252</v>
      </c>
      <c r="F36" s="58">
        <v>12.811720610354961</v>
      </c>
      <c r="G36" s="58">
        <v>14.38827938964504</v>
      </c>
    </row>
    <row r="37" spans="1:7" s="57" customFormat="1" x14ac:dyDescent="0.3">
      <c r="A37" s="59" t="s">
        <v>73</v>
      </c>
      <c r="B37" s="59">
        <v>10</v>
      </c>
      <c r="C37" s="58">
        <v>14.4</v>
      </c>
      <c r="D37" s="58">
        <v>0.39858546181511739</v>
      </c>
      <c r="E37" s="58">
        <v>0.78827938964504252</v>
      </c>
      <c r="F37" s="58">
        <v>13.61172061035496</v>
      </c>
      <c r="G37" s="58">
        <v>15.188279389645039</v>
      </c>
    </row>
    <row r="38" spans="1:7" s="57" customFormat="1" x14ac:dyDescent="0.3">
      <c r="A38" s="59" t="s">
        <v>72</v>
      </c>
      <c r="B38" s="59">
        <v>10</v>
      </c>
      <c r="C38" s="58">
        <v>16.899999999999999</v>
      </c>
      <c r="D38" s="58">
        <v>0.39858546181511739</v>
      </c>
      <c r="E38" s="58">
        <v>0.78827938964504252</v>
      </c>
      <c r="F38" s="58">
        <v>16.111720610354961</v>
      </c>
      <c r="G38" s="58">
        <v>17.688279389645039</v>
      </c>
    </row>
    <row r="39" spans="1:7" s="57" customFormat="1" x14ac:dyDescent="0.3">
      <c r="A39" s="59" t="s">
        <v>71</v>
      </c>
      <c r="B39" s="59">
        <v>10</v>
      </c>
      <c r="C39" s="58">
        <v>16</v>
      </c>
      <c r="D39" s="58">
        <v>0.39858546181511739</v>
      </c>
      <c r="E39" s="58">
        <v>0.78827938964504252</v>
      </c>
      <c r="F39" s="58">
        <v>15.211720610354959</v>
      </c>
      <c r="G39" s="58">
        <v>16.788279389645041</v>
      </c>
    </row>
    <row r="40" spans="1:7" s="57" customFormat="1" x14ac:dyDescent="0.3">
      <c r="A40" s="59" t="s">
        <v>70</v>
      </c>
      <c r="B40" s="59">
        <v>10</v>
      </c>
      <c r="C40" s="58">
        <v>18.100000000000001</v>
      </c>
      <c r="D40" s="58">
        <v>0.39858546181511739</v>
      </c>
      <c r="E40" s="58">
        <v>0.78827938964504252</v>
      </c>
      <c r="F40" s="58">
        <v>17.311720610354961</v>
      </c>
      <c r="G40" s="58">
        <v>18.888279389645039</v>
      </c>
    </row>
    <row r="41" spans="1:7" s="57" customFormat="1" x14ac:dyDescent="0.3">
      <c r="A41" s="59" t="s">
        <v>69</v>
      </c>
      <c r="B41" s="59">
        <v>10</v>
      </c>
      <c r="C41" s="58">
        <v>19.2</v>
      </c>
      <c r="D41" s="58">
        <v>0.39858546181511739</v>
      </c>
      <c r="E41" s="58">
        <v>0.78827938964504252</v>
      </c>
      <c r="F41" s="58">
        <v>18.411720610354958</v>
      </c>
      <c r="G41" s="58">
        <v>19.98827938964504</v>
      </c>
    </row>
  </sheetData>
  <mergeCells count="5">
    <mergeCell ref="A16:G16"/>
    <mergeCell ref="A1:G1"/>
    <mergeCell ref="A25:G25"/>
    <mergeCell ref="A9:G9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🚗 Route 1</vt:lpstr>
      <vt:lpstr>🚗 Route 2</vt:lpstr>
      <vt:lpstr>🚗 Route 3</vt:lpstr>
      <vt:lpstr>🚗 Route 4</vt:lpstr>
      <vt:lpstr>🚗 Route 5</vt:lpstr>
      <vt:lpstr>All Routes</vt:lpstr>
      <vt:lpstr>ANOVA</vt:lpstr>
      <vt:lpstr>Confidence Interval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Faiyaz Ul Karim</cp:lastModifiedBy>
  <cp:revision>0</cp:revision>
  <dcterms:created xsi:type="dcterms:W3CDTF">2026-04-25T04:47:47Z</dcterms:created>
  <dcterms:modified xsi:type="dcterms:W3CDTF">2026-04-29T04:14:32Z</dcterms:modified>
  <dc:language>en-US</dc:language>
</cp:coreProperties>
</file>